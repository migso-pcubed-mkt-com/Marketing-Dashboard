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tengroup.sharepoint.com/sites/GlobalMCTeam/Documents partages/Marketing Campaigns/"/>
    </mc:Choice>
  </mc:AlternateContent>
  <xr:revisionPtr revIDLastSave="1161" documentId="8_{BFB35ECC-AAA8-423B-AF07-E27AE36339A7}" xr6:coauthVersionLast="47" xr6:coauthVersionMax="47" xr10:uidLastSave="{EA1FB612-3DEB-4358-8F1C-8641911B60CC}"/>
  <bookViews>
    <workbookView xWindow="-10100" yWindow="-21710" windowWidth="38620" windowHeight="21100" firstSheet="1" activeTab="1" xr2:uid="{577F8D39-36D6-4467-8CD2-C3CF39C34F0A}"/>
  </bookViews>
  <sheets>
    <sheet name="Plan Marketing France 2026" sheetId="1" state="hidden" r:id="rId1"/>
    <sheet name="2026 CountryMarketingPlan-100k$" sheetId="2" r:id="rId2"/>
    <sheet name="2026 CountryMarketingPlan-60k$" sheetId="3" r:id="rId3"/>
    <sheet name="2026 CountryMarketingPlan-30k$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" l="1"/>
  <c r="N27" i="4" s="1"/>
  <c r="N25" i="4"/>
  <c r="N24" i="4"/>
  <c r="N23" i="4"/>
  <c r="N11" i="4"/>
  <c r="N10" i="4"/>
  <c r="N8" i="4"/>
  <c r="N28" i="3"/>
  <c r="N26" i="3"/>
  <c r="N25" i="3"/>
  <c r="N24" i="3"/>
  <c r="N23" i="3"/>
  <c r="N12" i="3"/>
  <c r="N11" i="3"/>
  <c r="N10" i="3"/>
  <c r="N9" i="3"/>
  <c r="N8" i="3"/>
  <c r="N23" i="2"/>
  <c r="N8" i="2"/>
  <c r="N26" i="2"/>
  <c r="N11" i="2"/>
  <c r="N25" i="2"/>
  <c r="N2" i="4" l="1"/>
  <c r="N14" i="4"/>
  <c r="N14" i="3"/>
  <c r="N2" i="3"/>
  <c r="N33" i="3" s="1"/>
  <c r="N33" i="4" l="1"/>
  <c r="N24" i="2"/>
  <c r="N12" i="2"/>
  <c r="N10" i="2"/>
  <c r="N9" i="2"/>
  <c r="N31" i="2"/>
  <c r="N11" i="1"/>
  <c r="N12" i="1"/>
  <c r="N13" i="1"/>
  <c r="N16" i="1"/>
  <c r="N17" i="1"/>
  <c r="N18" i="1"/>
  <c r="N19" i="1"/>
  <c r="N10" i="1" l="1"/>
  <c r="N15" i="1"/>
  <c r="N28" i="2"/>
  <c r="N14" i="2" s="1"/>
  <c r="N2" i="2" s="1"/>
  <c r="N24" i="1" l="1"/>
  <c r="N33" i="2"/>
</calcChain>
</file>

<file path=xl/sharedStrings.xml><?xml version="1.0" encoding="utf-8"?>
<sst xmlns="http://schemas.openxmlformats.org/spreadsheetml/2006/main" count="411" uniqueCount="115">
  <si>
    <t>Actions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</si>
  <si>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</si>
  <si>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</si>
  <si>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</si>
  <si>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</si>
  <si>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</si>
  <si>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</si>
  <si>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</si>
  <si>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</si>
  <si>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</si>
  <si>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</si>
  <si>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</si>
  <si>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</si>
  <si>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</si>
  <si>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Brand Awareness content - Organic</t>
  </si>
  <si>
    <t>Global MP Brand (Social Media post &amp; Newsroom articles)</t>
  </si>
  <si>
    <t>Vœux</t>
  </si>
  <si>
    <t>Pink October + Halloween</t>
  </si>
  <si>
    <t>Movember</t>
  </si>
  <si>
    <t>Vœux + video recap</t>
  </si>
  <si>
    <t xml:space="preserve">Brand Awareness emails </t>
  </si>
  <si>
    <t>Employeur Brand</t>
  </si>
  <si>
    <t>Content to create</t>
  </si>
  <si>
    <t>Expertise content - Organic</t>
  </si>
  <si>
    <t>On-Time-Delivery Campaign</t>
  </si>
  <si>
    <t>Time-To-Market Campaign</t>
  </si>
  <si>
    <t xml:space="preserve">Other expertise content articles </t>
  </si>
  <si>
    <t>TBD</t>
  </si>
  <si>
    <t>Brand Awareness actions - Paid</t>
  </si>
  <si>
    <t>Google Ads - Brand Awareness</t>
  </si>
  <si>
    <t>Linkedin Ads - Brand Awareness</t>
  </si>
  <si>
    <t>Press Relation (Online &amp; Offline)</t>
  </si>
  <si>
    <r>
      <t xml:space="preserve">Other </t>
    </r>
    <r>
      <rPr>
        <b/>
        <i/>
        <sz val="12"/>
        <color theme="4"/>
        <rFont val="Arial"/>
        <family val="2"/>
      </rPr>
      <t>(Client gif, Rollup banner, poster, …)</t>
    </r>
  </si>
  <si>
    <t>Lead Gen actions - Paid</t>
  </si>
  <si>
    <t>Google Ads - Downloadable resources</t>
  </si>
  <si>
    <t>Linkedin Ads - Downloadable resources</t>
  </si>
  <si>
    <r>
      <t xml:space="preserve">Press Relation </t>
    </r>
    <r>
      <rPr>
        <b/>
        <i/>
        <sz val="12"/>
        <color rgb="FF2C2B64"/>
        <rFont val="Arial"/>
        <family val="2"/>
      </rPr>
      <t>(Online &amp; Offline)</t>
    </r>
  </si>
  <si>
    <r>
      <t xml:space="preserve">Business Event </t>
    </r>
    <r>
      <rPr>
        <b/>
        <i/>
        <sz val="12"/>
        <color rgb="FF2C2B64"/>
        <rFont val="Arial"/>
        <family val="2"/>
      </rPr>
      <t>(100% In-House, Partnership, or with a Stand)</t>
    </r>
  </si>
  <si>
    <t>In-House</t>
  </si>
  <si>
    <t>Business Manager actions</t>
  </si>
  <si>
    <t>Business Partnership &amp; PR : partenariat avec des entités type CCI</t>
  </si>
  <si>
    <t>Event participation</t>
  </si>
  <si>
    <t>Event</t>
  </si>
  <si>
    <t>….</t>
  </si>
  <si>
    <t>²</t>
  </si>
  <si>
    <t>Marketing Action plan for countries - 100k$</t>
  </si>
  <si>
    <t>GOAL</t>
  </si>
  <si>
    <r>
      <t xml:space="preserve">Brand Awareness: </t>
    </r>
    <r>
      <rPr>
        <sz val="16"/>
        <color theme="0"/>
        <rFont val="Arial"/>
        <family val="2"/>
      </rPr>
      <t xml:space="preserve">Develop image, visibility, attractiveness, reputation  - </t>
    </r>
    <r>
      <rPr>
        <b/>
        <sz val="16"/>
        <color theme="0"/>
        <rFont val="Arial"/>
        <family val="2"/>
      </rPr>
      <t xml:space="preserve"> </t>
    </r>
    <r>
      <rPr>
        <b/>
        <i/>
        <sz val="16"/>
        <color theme="0"/>
        <rFont val="Arial"/>
        <family val="2"/>
      </rPr>
      <t xml:space="preserve">KPIs: </t>
    </r>
    <r>
      <rPr>
        <i/>
        <sz val="16"/>
        <color theme="0"/>
        <rFont val="Arial"/>
        <family val="2"/>
      </rPr>
      <t>Impression, Reach, Visit, View, Search volume, Audience volume, Ranking, Opening</t>
    </r>
  </si>
  <si>
    <t>M&amp;C:
Organic</t>
  </si>
  <si>
    <r>
      <t xml:space="preserve">Global MP Brand </t>
    </r>
    <r>
      <rPr>
        <b/>
        <i/>
        <sz val="14"/>
        <color theme="5"/>
        <rFont val="Arial"/>
        <family val="2"/>
      </rPr>
      <t>(Social Media post &amp; Newsroom articles)</t>
    </r>
  </si>
  <si>
    <t>Season greetings message</t>
  </si>
  <si>
    <t>&gt; Global Visibility, Brand awareness &amp; Brand image among our followers &amp; our employee's contacts</t>
  </si>
  <si>
    <t>M&amp;C Projects &amp; Workflows</t>
  </si>
  <si>
    <t>Employeur Brand content, templates &amp; posts</t>
  </si>
  <si>
    <t>&gt; Visibility, Brand awareness &amp; Brand image for Candidates, accross our TAP Ambassador &amp; employee voice</t>
  </si>
  <si>
    <t>M&amp;C:
Paid</t>
  </si>
  <si>
    <t>Brand image &amp; brand awareness videos</t>
  </si>
  <si>
    <t>Season greetings video</t>
  </si>
  <si>
    <t>MP 2026 video recap</t>
  </si>
  <si>
    <t xml:space="preserve">&gt; Develop brand image, brand attractiveness and brand preference 
&gt; Feel the brand more magic, more emotional </t>
  </si>
  <si>
    <t>BM</t>
  </si>
  <si>
    <t>Brand Awareness emails automation workflow</t>
  </si>
  <si>
    <t>&gt; Visibility &amp; Mind presence targeted to a list of identified people (lead emails from BM)</t>
  </si>
  <si>
    <t>M&amp;C + BM</t>
  </si>
  <si>
    <t>SEO optimisations</t>
  </si>
  <si>
    <r>
      <t>&gt; Develop our visibility on Business keywords &amp; user pain points</t>
    </r>
    <r>
      <rPr>
        <b/>
        <i/>
        <sz val="11"/>
        <color theme="7" tint="-0.249977111117893"/>
        <rFont val="Arial"/>
        <family val="2"/>
      </rPr>
      <t xml:space="preserve"> (long term)</t>
    </r>
    <r>
      <rPr>
        <b/>
        <sz val="11"/>
        <color theme="7" tint="-0.249977111117893"/>
        <rFont val="Arial"/>
        <family val="2"/>
      </rPr>
      <t xml:space="preserve">
&gt; Mind association between Business needs &amp; our Brand</t>
    </r>
  </si>
  <si>
    <r>
      <t>Linkedin Ads - Brand Awareness</t>
    </r>
    <r>
      <rPr>
        <b/>
        <i/>
        <sz val="14"/>
        <color theme="8"/>
        <rFont val="Arial"/>
        <family val="2"/>
      </rPr>
      <t xml:space="preserve"> (Guides, Insights, Leader voices, …)</t>
    </r>
  </si>
  <si>
    <t xml:space="preserve">&gt; Brand awareness &amp; Mind presence among unknown prospects 
&gt; Strengthen our Brand's visibility among unknown leads 
</t>
  </si>
  <si>
    <r>
      <t xml:space="preserve">Google Ads - Brand Awareness </t>
    </r>
    <r>
      <rPr>
        <b/>
        <i/>
        <sz val="14"/>
        <color theme="8"/>
        <rFont val="Arial"/>
        <family val="2"/>
      </rPr>
      <t>(Insights &amp; pedagogic content)</t>
    </r>
  </si>
  <si>
    <r>
      <t>&gt; Boost our visibility on user business questions and interests</t>
    </r>
    <r>
      <rPr>
        <b/>
        <i/>
        <sz val="11"/>
        <color theme="8"/>
        <rFont val="Arial"/>
        <family val="2"/>
      </rPr>
      <t xml:space="preserve"> (keywords)</t>
    </r>
    <r>
      <rPr>
        <b/>
        <sz val="11"/>
        <color theme="8"/>
        <rFont val="Arial"/>
        <family val="2"/>
      </rPr>
      <t xml:space="preserve">
&gt; Mind link between lead requests &amp; our Brand / Expertise on how we can help</t>
    </r>
  </si>
  <si>
    <t>&gt; Brand Reputation through association with a recognised external media 
&gt; Mind presence
&gt; Visibiliy &amp; GEO (AI)</t>
  </si>
  <si>
    <r>
      <t xml:space="preserve">Other </t>
    </r>
    <r>
      <rPr>
        <b/>
        <i/>
        <sz val="14"/>
        <color theme="8"/>
        <rFont val="Arial"/>
        <family val="2"/>
      </rPr>
      <t>(Client gif, Rollup banner, poster, …)</t>
    </r>
  </si>
  <si>
    <t>&gt; Develop our  image and visibility on the ground for events, offices, client sites, ...</t>
  </si>
  <si>
    <r>
      <t>Business Event participation</t>
    </r>
    <r>
      <rPr>
        <b/>
        <i/>
        <sz val="14"/>
        <color theme="6"/>
        <rFont val="Arial"/>
        <family val="2"/>
      </rPr>
      <t xml:space="preserve"> (stand)</t>
    </r>
  </si>
  <si>
    <t>&gt; Brand visibility on the field / offline
&gt; Brand association with recognised events or themes</t>
  </si>
  <si>
    <t>Business Partnership &amp; PR : CCI, …</t>
  </si>
  <si>
    <t>&gt; Develop  visibility among a pool of local businesses
&gt; Being recognised as an important local business actor</t>
  </si>
  <si>
    <r>
      <t xml:space="preserve">Consideration / Engagement: </t>
    </r>
    <r>
      <rPr>
        <sz val="16"/>
        <color theme="0"/>
        <rFont val="Arial"/>
        <family val="2"/>
      </rPr>
      <t xml:space="preserve">Generate interest, convince  - </t>
    </r>
    <r>
      <rPr>
        <b/>
        <sz val="16"/>
        <color theme="0"/>
        <rFont val="Arial"/>
        <family val="2"/>
      </rPr>
      <t xml:space="preserve"> </t>
    </r>
    <r>
      <rPr>
        <b/>
        <i/>
        <sz val="16"/>
        <color theme="0"/>
        <rFont val="Arial"/>
        <family val="2"/>
      </rPr>
      <t>KPIs:</t>
    </r>
    <r>
      <rPr>
        <i/>
        <sz val="16"/>
        <color theme="0"/>
        <rFont val="Arial"/>
        <family val="2"/>
      </rPr>
      <t xml:space="preserve"> Click, CTR, Like, Engagement, Engagement rate, Visits, View, Bounce rate</t>
    </r>
    <r>
      <rPr>
        <b/>
        <i/>
        <sz val="16"/>
        <color theme="0"/>
        <rFont val="Arial"/>
        <family val="2"/>
      </rPr>
      <t xml:space="preserve">, </t>
    </r>
    <r>
      <rPr>
        <i/>
        <sz val="16"/>
        <color theme="0"/>
        <rFont val="Arial"/>
        <family val="2"/>
      </rPr>
      <t>Download, Email adress, Attendee</t>
    </r>
  </si>
  <si>
    <r>
      <t xml:space="preserve">On-Time-Delivery expertise campaign </t>
    </r>
    <r>
      <rPr>
        <b/>
        <i/>
        <sz val="14"/>
        <color theme="5"/>
        <rFont val="Arial"/>
        <family val="2"/>
      </rPr>
      <t>(articles / landing pages)</t>
    </r>
  </si>
  <si>
    <t xml:space="preserve">&gt; Create content on a lead pain point, to establish brand authority and visibility  around this topic </t>
  </si>
  <si>
    <r>
      <rPr>
        <b/>
        <sz val="14"/>
        <color rgb="FF3466CE"/>
        <rFont val="Arial"/>
      </rPr>
      <t xml:space="preserve">Time-To-Market expertise campaign </t>
    </r>
    <r>
      <rPr>
        <b/>
        <i/>
        <sz val="14"/>
        <color rgb="FF3466CE"/>
        <rFont val="Arial"/>
      </rPr>
      <t>(articles / landing pages)</t>
    </r>
  </si>
  <si>
    <t xml:space="preserve">Case study articles </t>
  </si>
  <si>
    <t>&gt; Create project case study content, to proof and reassure our audience about our expertise</t>
  </si>
  <si>
    <t xml:space="preserve">Case study &amp; testimony videos </t>
  </si>
  <si>
    <t>&gt; Create testimony &amp; case study video, to demonstrate our expertise by the voice of our customer, and convince our leads</t>
  </si>
  <si>
    <r>
      <t xml:space="preserve">Other expertise content articles </t>
    </r>
    <r>
      <rPr>
        <b/>
        <i/>
        <sz val="14"/>
        <color theme="5"/>
        <rFont val="Arial"/>
        <family val="2"/>
      </rPr>
      <t>(Expertise, solution, service, discipline)</t>
    </r>
  </si>
  <si>
    <t xml:space="preserve">&gt; Create content on our Expertise, solutions, services or disciplines, to establish brand authority and visibility  around this topic </t>
  </si>
  <si>
    <t xml:space="preserve">Engagement email automation workflow </t>
  </si>
  <si>
    <r>
      <t>&gt; Encourage contacts who already had interaction with us</t>
    </r>
    <r>
      <rPr>
        <b/>
        <i/>
        <sz val="11"/>
        <color theme="7" tint="-0.249977111117893"/>
        <rFont val="Arial"/>
        <family val="2"/>
      </rPr>
      <t xml:space="preserve"> (download, survey, event, …) to engage more and become a potential lead</t>
    </r>
  </si>
  <si>
    <t>Project Assessment survey (V2)</t>
  </si>
  <si>
    <t>&gt; Create a project assessment survey as a prospecting product, to engage conversation in an easier way, generate interest and obtain email contacts</t>
  </si>
  <si>
    <t>Service pages review &amp; Solution page creation</t>
  </si>
  <si>
    <t>&gt; Review our Expertise &amp; Services pages to make our offering more efficient and understandable
&gt; Create solutions pages to have entry points tailored  to users paint points</t>
  </si>
  <si>
    <r>
      <t xml:space="preserve">Linkedin Ads - Contact Gen </t>
    </r>
    <r>
      <rPr>
        <b/>
        <i/>
        <sz val="14"/>
        <color theme="8"/>
        <rFont val="Arial"/>
        <family val="2"/>
      </rPr>
      <t>(Resources promotion: downloadables, survey, …)</t>
    </r>
  </si>
  <si>
    <r>
      <t xml:space="preserve">&gt; Generate interest through business useful ressources targeted to unknown prospects </t>
    </r>
    <r>
      <rPr>
        <b/>
        <i/>
        <sz val="11"/>
        <color theme="8"/>
        <rFont val="Arial"/>
        <family val="2"/>
      </rPr>
      <t>(win/win strategy to obtain email adressesd)</t>
    </r>
  </si>
  <si>
    <r>
      <t>Linkedin Ads - Consideration</t>
    </r>
    <r>
      <rPr>
        <b/>
        <i/>
        <sz val="14"/>
        <color theme="8"/>
        <rFont val="Arial"/>
        <family val="2"/>
      </rPr>
      <t xml:space="preserve"> (testimony, case study, ..)</t>
    </r>
  </si>
  <si>
    <t xml:space="preserve">&gt; Reassure and convince our audience about our expertise and good reputation, accross proof and external testimony targeted to unknown prospects </t>
  </si>
  <si>
    <t>Google Ads - Contact Gen campaign (Resources promotion: downloadables, survey, …)</t>
  </si>
  <si>
    <r>
      <t xml:space="preserve">&gt; Generate interest through prospect useful ressources, targeted by core business topics/keywords requests </t>
    </r>
    <r>
      <rPr>
        <b/>
        <i/>
        <sz val="11"/>
        <color theme="8"/>
        <rFont val="Arial"/>
        <family val="2"/>
      </rPr>
      <t>(win/win strategy to obtain email adressesd)</t>
    </r>
  </si>
  <si>
    <r>
      <t>Google Ads - Consideration / Conversion</t>
    </r>
    <r>
      <rPr>
        <b/>
        <i/>
        <sz val="14"/>
        <color theme="8"/>
        <rFont val="Arial"/>
        <family val="2"/>
      </rPr>
      <t xml:space="preserve"> (Solution, expertise &amp; services landing pages) </t>
    </r>
  </si>
  <si>
    <r>
      <t xml:space="preserve">&gt; Boost our visibility on business solutions and user paint point requests </t>
    </r>
    <r>
      <rPr>
        <b/>
        <i/>
        <sz val="11"/>
        <color theme="8"/>
        <rFont val="Arial"/>
        <family val="2"/>
      </rPr>
      <t>(keywords)</t>
    </r>
    <r>
      <rPr>
        <b/>
        <sz val="11"/>
        <color theme="8"/>
        <rFont val="Arial"/>
        <family val="2"/>
      </rPr>
      <t xml:space="preserve">
&gt; Convince we are the right company with the right Solution to support them</t>
    </r>
  </si>
  <si>
    <r>
      <t xml:space="preserve">Business Event organisation </t>
    </r>
    <r>
      <rPr>
        <b/>
        <i/>
        <sz val="14"/>
        <color theme="6"/>
        <rFont val="Arial"/>
        <family val="2"/>
      </rPr>
      <t>(100% In-House, Partnership)</t>
    </r>
  </si>
  <si>
    <t>&gt; Develop image, visibility &amp; reputation among a pool of targeted local business actors
&gt; Engage conversation and convince potential Leads</t>
  </si>
  <si>
    <r>
      <t>Conversion:</t>
    </r>
    <r>
      <rPr>
        <sz val="16"/>
        <color theme="0"/>
        <rFont val="Arial"/>
        <family val="2"/>
      </rPr>
      <t xml:space="preserve"> Tansform, convert, generate leads  -  </t>
    </r>
    <r>
      <rPr>
        <b/>
        <i/>
        <sz val="16"/>
        <color theme="0"/>
        <rFont val="Arial"/>
        <family val="2"/>
      </rPr>
      <t xml:space="preserve">KPIs: </t>
    </r>
    <r>
      <rPr>
        <i/>
        <sz val="16"/>
        <color theme="0"/>
        <rFont val="Arial"/>
        <family val="2"/>
      </rPr>
      <t>Form completion, Business meeting, Lead, MQL, SQL</t>
    </r>
  </si>
  <si>
    <t xml:space="preserve">Conversion email automation workflow </t>
  </si>
  <si>
    <r>
      <t>&gt; Identify if contact have a short term need to become a potential lead</t>
    </r>
    <r>
      <rPr>
        <b/>
        <i/>
        <sz val="11"/>
        <color theme="7" tint="-0.249977111117893"/>
        <rFont val="Arial"/>
        <family val="2"/>
      </rPr>
      <t xml:space="preserve"> (or not)</t>
    </r>
    <r>
      <rPr>
        <b/>
        <sz val="11"/>
        <color theme="7" tint="-0.249977111117893"/>
        <rFont val="Arial"/>
        <family val="2"/>
      </rPr>
      <t xml:space="preserve">
&gt; Encourage contacts who already engage with us to contact us, book a meeting or a call</t>
    </r>
  </si>
  <si>
    <t>Scoring system</t>
  </si>
  <si>
    <t xml:space="preserve">&gt; Identify contacts who engaged to a good level and tranfer to BM to conclude (or retargeting campaign) </t>
  </si>
  <si>
    <r>
      <t>Linkedin Ads - Conversion</t>
    </r>
    <r>
      <rPr>
        <b/>
        <i/>
        <sz val="14"/>
        <color theme="8"/>
        <rFont val="Arial"/>
        <family val="2"/>
      </rPr>
      <t xml:space="preserve"> (Retargeting with Commercial landing pages, Contact us, Book a meeting) </t>
    </r>
  </si>
  <si>
    <t>&gt; Encourage contacts who already engage with us to contact us, book a meeting or a call</t>
  </si>
  <si>
    <t>BM prospection meetings</t>
  </si>
  <si>
    <r>
      <t xml:space="preserve">&gt; Develop our reputation among a pool of targeted local business actors
&gt; Engage conversation and convince identified Sale Qualidied Leads </t>
    </r>
    <r>
      <rPr>
        <b/>
        <i/>
        <sz val="11"/>
        <color theme="6"/>
        <rFont val="Arial"/>
        <family val="2"/>
      </rPr>
      <t>(SQL)</t>
    </r>
  </si>
  <si>
    <t>Marketing Action plan for countries - 60K$</t>
  </si>
  <si>
    <r>
      <t xml:space="preserve">Time-To-Market expertise campaign </t>
    </r>
    <r>
      <rPr>
        <b/>
        <i/>
        <sz val="14"/>
        <color theme="5"/>
        <rFont val="Arial"/>
        <family val="2"/>
      </rPr>
      <t>(articles / landing pages)</t>
    </r>
  </si>
  <si>
    <t>Marketing Action plan for countries - 30K$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</si>
</sst>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\ &quot;€&quot;"/>
  </numFmts>
  <fonts count="51" x14ac:knownFonts="1">
    <font>
      <sz val="11"/>
      <color theme="1"/>
      <name val="Arial"/>
      <family val="2"/>
      <scheme val="minor"/>
    </font>
    <font>
      <sz val="18"/>
      <name val="Arial"/>
      <family val="2"/>
    </font>
    <font>
      <b/>
      <sz val="14"/>
      <color rgb="FFFDFDFD"/>
      <name val="Arial"/>
      <family val="2"/>
    </font>
    <font>
      <sz val="11"/>
      <name val="Arial"/>
      <family val="2"/>
    </font>
    <font>
      <b/>
      <sz val="11"/>
      <color rgb="FF3466CE"/>
      <name val="Arial"/>
      <family val="2"/>
    </font>
    <font>
      <sz val="11"/>
      <color theme="4"/>
      <name val="Arial"/>
      <family val="2"/>
    </font>
    <font>
      <sz val="11"/>
      <color theme="4"/>
      <name val="Arial"/>
      <family val="2"/>
      <scheme val="minor"/>
    </font>
    <font>
      <b/>
      <sz val="11"/>
      <color rgb="FF2C2B64"/>
      <name val="Arial"/>
      <family val="2"/>
    </font>
    <font>
      <b/>
      <sz val="14"/>
      <color rgb="FF3466CE"/>
      <name val="Arial"/>
      <family val="2"/>
    </font>
    <font>
      <sz val="14"/>
      <color theme="0"/>
      <name val="Arial"/>
      <family val="2"/>
    </font>
    <font>
      <b/>
      <sz val="12"/>
      <color theme="4"/>
      <name val="Arial"/>
      <family val="2"/>
    </font>
    <font>
      <b/>
      <sz val="12"/>
      <color rgb="FF2C2B64"/>
      <name val="Arial"/>
      <family val="2"/>
    </font>
    <font>
      <b/>
      <i/>
      <sz val="12"/>
      <color rgb="FF2C2B64"/>
      <name val="Arial"/>
      <family val="2"/>
    </font>
    <font>
      <b/>
      <i/>
      <sz val="12"/>
      <color theme="4"/>
      <name val="Arial"/>
      <family val="2"/>
    </font>
    <font>
      <sz val="8"/>
      <name val="Arial"/>
      <family val="2"/>
      <scheme val="minor"/>
    </font>
    <font>
      <b/>
      <sz val="11"/>
      <color theme="8"/>
      <name val="Arial"/>
      <family val="2"/>
    </font>
    <font>
      <b/>
      <sz val="12"/>
      <color theme="9"/>
      <name val="Arial"/>
      <family val="2"/>
    </font>
    <font>
      <b/>
      <sz val="11"/>
      <color theme="9"/>
      <name val="Arial"/>
      <family val="2"/>
    </font>
    <font>
      <b/>
      <sz val="14"/>
      <color theme="8" tint="-0.499984740745262"/>
      <name val="Arial"/>
      <family val="2"/>
    </font>
    <font>
      <b/>
      <sz val="14"/>
      <color theme="9" tint="-0.499984740745262"/>
      <name val="Arial"/>
      <family val="2"/>
    </font>
    <font>
      <sz val="14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8" tint="-0.499984740745262"/>
      <name val="Arial"/>
      <family val="2"/>
    </font>
    <font>
      <sz val="11"/>
      <color rgb="FF3466CE"/>
      <name val="Arial"/>
      <family val="2"/>
      <scheme val="minor"/>
    </font>
    <font>
      <sz val="11"/>
      <color rgb="FFBEBEBE"/>
      <name val="Arial"/>
      <family val="2"/>
      <scheme val="minor"/>
    </font>
    <font>
      <sz val="11"/>
      <color rgb="FF4BAADF"/>
      <name val="Arial"/>
      <family val="2"/>
      <scheme val="minor"/>
    </font>
    <font>
      <sz val="11"/>
      <color rgb="FF5CC29D"/>
      <name val="Arial"/>
      <family val="2"/>
      <scheme val="minor"/>
    </font>
    <font>
      <b/>
      <sz val="11"/>
      <color theme="5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i/>
      <sz val="16"/>
      <color theme="0"/>
      <name val="Arial"/>
      <family val="2"/>
    </font>
    <font>
      <b/>
      <i/>
      <sz val="16"/>
      <color theme="0"/>
      <name val="Arial"/>
      <family val="2"/>
    </font>
    <font>
      <b/>
      <sz val="16"/>
      <color rgb="FFFDFDFD"/>
      <name val="Arial"/>
      <family val="2"/>
    </font>
    <font>
      <b/>
      <sz val="14"/>
      <color theme="5"/>
      <name val="Arial"/>
      <family val="2"/>
    </font>
    <font>
      <b/>
      <sz val="11"/>
      <color theme="9" tint="-0.249977111117893"/>
      <name val="Arial"/>
      <family val="2"/>
    </font>
    <font>
      <b/>
      <i/>
      <sz val="11"/>
      <color theme="8"/>
      <name val="Arial"/>
      <family val="2"/>
    </font>
    <font>
      <b/>
      <i/>
      <sz val="14"/>
      <color theme="5"/>
      <name val="Arial"/>
      <family val="2"/>
    </font>
    <font>
      <b/>
      <sz val="14"/>
      <color theme="8"/>
      <name val="Arial"/>
      <family val="2"/>
    </font>
    <font>
      <b/>
      <i/>
      <sz val="14"/>
      <color theme="8"/>
      <name val="Arial"/>
      <family val="2"/>
    </font>
    <font>
      <b/>
      <sz val="14"/>
      <color theme="7" tint="-0.249977111117893"/>
      <name val="Arial"/>
      <family val="2"/>
    </font>
    <font>
      <b/>
      <sz val="11"/>
      <color theme="7" tint="-0.249977111117893"/>
      <name val="Arial"/>
      <family val="2"/>
    </font>
    <font>
      <b/>
      <sz val="11"/>
      <color theme="4"/>
      <name val="Arial"/>
      <family val="2"/>
    </font>
    <font>
      <b/>
      <sz val="14"/>
      <color theme="6"/>
      <name val="Arial"/>
      <family val="2"/>
    </font>
    <font>
      <b/>
      <i/>
      <sz val="14"/>
      <color theme="6"/>
      <name val="Arial"/>
      <family val="2"/>
    </font>
    <font>
      <b/>
      <sz val="11"/>
      <color theme="6"/>
      <name val="Arial"/>
      <family val="2"/>
    </font>
    <font>
      <sz val="18"/>
      <color theme="4"/>
      <name val="Arial"/>
      <family val="2"/>
    </font>
    <font>
      <b/>
      <i/>
      <sz val="11"/>
      <color theme="6"/>
      <name val="Arial"/>
      <family val="2"/>
    </font>
    <font>
      <b/>
      <i/>
      <sz val="11"/>
      <color theme="7" tint="-0.249977111117893"/>
      <name val="Arial"/>
      <family val="2"/>
    </font>
    <font>
      <b/>
      <sz val="14"/>
      <color rgb="FF3466CE"/>
      <name val="Arial"/>
    </font>
    <font>
      <b/>
      <i/>
      <sz val="14"/>
      <color rgb="FF3466CE"/>
      <name val="Arial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gradientFill>
        <stop position="0">
          <color theme="8" tint="0.80001220740379042"/>
        </stop>
        <stop position="1">
          <color theme="6" tint="0.80001220740379042"/>
        </stop>
      </gradientFill>
    </fill>
    <fill>
      <gradientFill>
        <stop position="0">
          <color theme="5" tint="0.80001220740379042"/>
        </stop>
        <stop position="1">
          <color theme="6" tint="0.80001220740379042"/>
        </stop>
      </gradientFill>
    </fill>
    <fill>
      <patternFill patternType="solid">
        <fgColor theme="6" tint="0.79998168889431442"/>
        <bgColor auto="1"/>
      </patternFill>
    </fill>
  </fills>
  <borders count="14">
    <border>
      <left/>
      <right/>
      <top/>
      <bottom/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/>
      <right/>
      <top style="medium">
        <color rgb="FFE9E9E9"/>
      </top>
      <bottom/>
      <diagonal/>
    </border>
    <border>
      <left/>
      <right style="thin">
        <color rgb="FF3466CE"/>
      </right>
      <top style="medium">
        <color rgb="FFE9E9E9"/>
      </top>
      <bottom/>
      <diagonal/>
    </border>
    <border>
      <left style="thin">
        <color theme="0" tint="-9.9978637043366805E-2"/>
      </left>
      <right style="thin">
        <color theme="0" tint="-9.9978637043366805E-2"/>
      </right>
      <top style="thin">
        <color theme="0" tint="-9.9978637043366805E-2"/>
      </top>
      <bottom/>
      <diagonal/>
    </border>
    <border>
      <left/>
      <right/>
      <top/>
      <bottom style="medium">
        <color rgb="FFE9E9E9"/>
      </bottom>
      <diagonal/>
    </border>
    <border>
      <left style="thin">
        <color theme="0" tint="-9.9978637043366805E-2"/>
      </left>
      <right/>
      <top style="thin">
        <color theme="0" tint="-9.9978637043366805E-2"/>
      </top>
      <bottom style="thin">
        <color theme="0" tint="-9.9978637043366805E-2"/>
      </bottom>
      <diagonal/>
    </border>
    <border>
      <left/>
      <right style="thin">
        <color theme="0" tint="-9.9978637043366805E-2"/>
      </right>
      <top style="thin">
        <color theme="0" tint="-9.9978637043366805E-2"/>
      </top>
      <bottom style="thin">
        <color theme="0" tint="-9.9978637043366805E-2"/>
      </bottom>
      <diagonal/>
    </border>
    <border>
      <left/>
      <right style="thin">
        <color theme="0" tint="-9.9978637043366805E-2"/>
      </right>
      <top style="thin">
        <color theme="0" tint="-9.9978637043366805E-2"/>
      </top>
      <bottom/>
      <diagonal/>
    </border>
    <border>
      <left style="thin">
        <color theme="0" tint="-9.9978637043366805E-2"/>
      </left>
      <right style="medium">
        <color theme="5"/>
      </right>
      <top style="thin">
        <color theme="0" tint="-9.9978637043366805E-2"/>
      </top>
      <bottom/>
      <diagonal/>
    </border>
    <border>
      <left style="thin">
        <color theme="0" tint="-9.9978637043366805E-2"/>
      </left>
      <right style="medium">
        <color theme="5"/>
      </right>
      <top style="thin">
        <color theme="0" tint="-9.9978637043366805E-2"/>
      </top>
      <bottom style="thin">
        <color theme="0" tint="-9.9978637043366805E-2"/>
      </bottom>
      <diagonal/>
    </border>
    <border>
      <left style="medium">
        <color theme="5"/>
      </left>
      <right/>
      <top style="thin">
        <color theme="0" tint="-9.9978637043366805E-2"/>
      </top>
      <bottom style="thin">
        <color theme="0" tint="-9.9978637043366805E-2"/>
      </bottom>
      <diagonal/>
    </border>
    <border>
      <left/>
      <right/>
      <top style="thin">
        <color theme="0" tint="-9.9978637043366805E-2"/>
      </top>
      <bottom style="thin">
        <color theme="0" tint="-9.9978637043366805E-2"/>
      </bottom>
      <diagonal/>
    </border>
    <border>
      <left/>
      <right style="medium">
        <color theme="5"/>
      </right>
      <top style="thin">
        <color theme="0" tint="-9.9978637043366805E-2"/>
      </top>
      <bottom style="thin">
        <color theme="0" tint="-9.9978637043366805E-2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6" fillId="0" borderId="0" xfId="0" applyFont="1"/>
    <xf numFmtId="0" fontId="2" fillId="3" borderId="0" xfId="0" applyFont="1" applyFill="1" applyAlignment="1">
      <alignment horizontal="center" vertical="center" wrapText="1" readingOrder="1"/>
    </xf>
    <xf numFmtId="0" fontId="9" fillId="3" borderId="0" xfId="0" applyFont="1" applyFill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7" fillId="0" borderId="4" xfId="0" applyFont="1" applyBorder="1" applyAlignment="1">
      <alignment horizontal="left" vertical="center" wrapText="1" indent="1" readingOrder="1"/>
    </xf>
    <xf numFmtId="0" fontId="15" fillId="5" borderId="1" xfId="0" applyFont="1" applyFill="1" applyBorder="1" applyAlignment="1">
      <alignment horizontal="left" vertical="center" wrapText="1" indent="1" readingOrder="1"/>
    </xf>
    <xf numFmtId="0" fontId="5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 readingOrder="1"/>
    </xf>
    <xf numFmtId="6" fontId="5" fillId="8" borderId="1" xfId="0" applyNumberFormat="1" applyFont="1" applyFill="1" applyBorder="1" applyAlignment="1">
      <alignment horizontal="center" vertical="center" wrapText="1"/>
    </xf>
    <xf numFmtId="6" fontId="1" fillId="8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 indent="1" readingOrder="1"/>
    </xf>
    <xf numFmtId="0" fontId="19" fillId="7" borderId="1" xfId="0" applyFont="1" applyFill="1" applyBorder="1" applyAlignment="1">
      <alignment horizontal="left" vertical="center" wrapText="1" indent="1" readingOrder="1"/>
    </xf>
    <xf numFmtId="0" fontId="18" fillId="5" borderId="4" xfId="0" applyFont="1" applyFill="1" applyBorder="1" applyAlignment="1">
      <alignment horizontal="left" vertical="center" wrapText="1" indent="1" readingOrder="1"/>
    </xf>
    <xf numFmtId="0" fontId="20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 indent="1" readingOrder="1"/>
    </xf>
    <xf numFmtId="164" fontId="16" fillId="7" borderId="1" xfId="0" applyNumberFormat="1" applyFont="1" applyFill="1" applyBorder="1" applyAlignment="1">
      <alignment horizontal="left" vertical="center" wrapText="1" indent="1" readingOrder="1"/>
    </xf>
    <xf numFmtId="164" fontId="15" fillId="6" borderId="1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left" vertical="center" wrapText="1" indent="1" readingOrder="1"/>
    </xf>
    <xf numFmtId="164" fontId="15" fillId="5" borderId="1" xfId="0" applyNumberFormat="1" applyFont="1" applyFill="1" applyBorder="1" applyAlignment="1">
      <alignment horizontal="center" vertical="center" wrapText="1" readingOrder="1"/>
    </xf>
    <xf numFmtId="164" fontId="3" fillId="4" borderId="4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18" fillId="5" borderId="4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 indent="1" readingOrder="1"/>
    </xf>
    <xf numFmtId="0" fontId="23" fillId="0" borderId="1" xfId="0" applyFont="1" applyBorder="1" applyAlignment="1">
      <alignment horizontal="center" vertical="center" wrapText="1"/>
    </xf>
    <xf numFmtId="164" fontId="22" fillId="9" borderId="1" xfId="0" applyNumberFormat="1" applyFont="1" applyFill="1" applyBorder="1" applyAlignment="1">
      <alignment horizontal="center" vertical="center" wrapText="1" readingOrder="1"/>
    </xf>
    <xf numFmtId="0" fontId="5" fillId="1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6" fontId="5" fillId="8" borderId="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left" vertical="center" wrapText="1" indent="1" readingOrder="1"/>
    </xf>
    <xf numFmtId="0" fontId="20" fillId="5" borderId="8" xfId="0" applyFont="1" applyFill="1" applyBorder="1" applyAlignment="1">
      <alignment horizontal="center" vertical="center" wrapText="1"/>
    </xf>
    <xf numFmtId="6" fontId="5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left" vertical="center" wrapText="1" indent="1" readingOrder="1"/>
    </xf>
    <xf numFmtId="0" fontId="21" fillId="9" borderId="10" xfId="0" applyFont="1" applyFill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center" vertical="center" wrapText="1"/>
    </xf>
    <xf numFmtId="6" fontId="5" fillId="8" borderId="1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9" xfId="0" applyBorder="1"/>
    <xf numFmtId="6" fontId="5" fillId="0" borderId="10" xfId="0" applyNumberFormat="1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left" vertical="center" wrapText="1" indent="1" readingOrder="1"/>
    </xf>
    <xf numFmtId="0" fontId="5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8" fillId="5" borderId="8" xfId="0" applyFont="1" applyFill="1" applyBorder="1" applyAlignment="1">
      <alignment horizontal="left" vertical="center" wrapText="1" indent="1" readingOrder="1"/>
    </xf>
    <xf numFmtId="6" fontId="5" fillId="8" borderId="6" xfId="0" applyNumberFormat="1" applyFont="1" applyFill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 vertical="center" readingOrder="1"/>
    </xf>
    <xf numFmtId="49" fontId="25" fillId="0" borderId="0" xfId="0" applyNumberFormat="1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5" fillId="0" borderId="0" xfId="0" applyFont="1" applyAlignment="1">
      <alignment horizontal="left" vertical="center" readingOrder="1"/>
    </xf>
    <xf numFmtId="164" fontId="28" fillId="0" borderId="1" xfId="0" applyNumberFormat="1" applyFont="1" applyBorder="1" applyAlignment="1">
      <alignment horizontal="left" vertical="center" wrapText="1"/>
    </xf>
    <xf numFmtId="0" fontId="29" fillId="9" borderId="1" xfId="0" applyFont="1" applyFill="1" applyBorder="1" applyAlignment="1">
      <alignment horizontal="left" vertical="center" indent="1" readingOrder="1"/>
    </xf>
    <xf numFmtId="0" fontId="30" fillId="3" borderId="0" xfId="0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 readingOrder="1"/>
    </xf>
    <xf numFmtId="0" fontId="33" fillId="3" borderId="3" xfId="0" applyFont="1" applyFill="1" applyBorder="1" applyAlignment="1">
      <alignment horizontal="center" vertical="center" wrapText="1" readingOrder="1"/>
    </xf>
    <xf numFmtId="0" fontId="33" fillId="3" borderId="0" xfId="0" applyFont="1" applyFill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left" vertical="center" wrapText="1"/>
    </xf>
    <xf numFmtId="164" fontId="28" fillId="9" borderId="1" xfId="0" applyNumberFormat="1" applyFont="1" applyFill="1" applyBorder="1" applyAlignment="1">
      <alignment horizontal="left" vertical="center" wrapText="1" readingOrder="1"/>
    </xf>
    <xf numFmtId="164" fontId="34" fillId="5" borderId="4" xfId="0" applyNumberFormat="1" applyFont="1" applyFill="1" applyBorder="1" applyAlignment="1">
      <alignment horizontal="left" vertical="center" wrapText="1"/>
    </xf>
    <xf numFmtId="0" fontId="33" fillId="3" borderId="5" xfId="0" applyFont="1" applyFill="1" applyBorder="1" applyAlignment="1">
      <alignment horizontal="center" vertical="center" wrapText="1" readingOrder="1"/>
    </xf>
    <xf numFmtId="0" fontId="33" fillId="9" borderId="0" xfId="0" applyFont="1" applyFill="1" applyAlignment="1">
      <alignment horizontal="center" vertical="center" wrapText="1" readingOrder="1"/>
    </xf>
    <xf numFmtId="0" fontId="34" fillId="0" borderId="1" xfId="0" applyFont="1" applyBorder="1" applyAlignment="1">
      <alignment horizontal="left" vertical="center" wrapText="1" indent="1" readingOrder="1"/>
    </xf>
    <xf numFmtId="0" fontId="38" fillId="0" borderId="1" xfId="0" applyFont="1" applyBorder="1" applyAlignment="1">
      <alignment horizontal="left" vertical="center" wrapText="1" indent="1" readingOrder="1"/>
    </xf>
    <xf numFmtId="0" fontId="40" fillId="0" borderId="1" xfId="0" applyFont="1" applyBorder="1" applyAlignment="1">
      <alignment horizontal="left" vertical="center" wrapText="1" indent="1" readingOrder="1"/>
    </xf>
    <xf numFmtId="164" fontId="4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 indent="1" readingOrder="1"/>
    </xf>
    <xf numFmtId="0" fontId="43" fillId="0" borderId="4" xfId="0" applyFont="1" applyBorder="1" applyAlignment="1">
      <alignment horizontal="left" vertical="center" wrapText="1" indent="1" readingOrder="1"/>
    </xf>
    <xf numFmtId="0" fontId="23" fillId="12" borderId="8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0" fillId="12" borderId="8" xfId="0" applyFill="1" applyBorder="1"/>
    <xf numFmtId="0" fontId="0" fillId="12" borderId="4" xfId="0" applyFill="1" applyBorder="1"/>
    <xf numFmtId="164" fontId="45" fillId="0" borderId="1" xfId="0" applyNumberFormat="1" applyFont="1" applyBorder="1" applyAlignment="1">
      <alignment horizontal="left" vertical="center" wrapText="1"/>
    </xf>
    <xf numFmtId="0" fontId="0" fillId="12" borderId="0" xfId="0" applyFill="1" applyAlignment="1">
      <alignment horizontal="center" vertical="center"/>
    </xf>
    <xf numFmtId="6" fontId="5" fillId="13" borderId="10" xfId="0" applyNumberFormat="1" applyFont="1" applyFill="1" applyBorder="1" applyAlignment="1">
      <alignment horizontal="center" vertical="center" wrapText="1"/>
    </xf>
    <xf numFmtId="164" fontId="28" fillId="0" borderId="6" xfId="0" applyNumberFormat="1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6" fontId="5" fillId="14" borderId="6" xfId="0" applyNumberFormat="1" applyFont="1" applyFill="1" applyBorder="1" applyAlignment="1">
      <alignment horizontal="center" vertical="center" wrapText="1"/>
    </xf>
    <xf numFmtId="6" fontId="5" fillId="14" borderId="11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46" fillId="0" borderId="7" xfId="0" applyFont="1" applyBorder="1" applyAlignment="1">
      <alignment horizontal="center" vertical="center" wrapText="1"/>
    </xf>
    <xf numFmtId="0" fontId="6" fillId="0" borderId="10" xfId="0" applyFont="1" applyBorder="1"/>
    <xf numFmtId="0" fontId="46" fillId="0" borderId="10" xfId="0" applyFont="1" applyBorder="1" applyAlignment="1">
      <alignment horizontal="center" vertical="center" wrapText="1"/>
    </xf>
    <xf numFmtId="0" fontId="42" fillId="9" borderId="7" xfId="0" applyFont="1" applyFill="1" applyBorder="1" applyAlignment="1">
      <alignment horizontal="left" vertical="center" wrapText="1" indent="1" readingOrder="1"/>
    </xf>
    <xf numFmtId="0" fontId="42" fillId="9" borderId="1" xfId="0" applyFont="1" applyFill="1" applyBorder="1" applyAlignment="1">
      <alignment horizontal="left" vertical="center" wrapText="1" indent="1" readingOrder="1"/>
    </xf>
    <xf numFmtId="0" fontId="42" fillId="9" borderId="10" xfId="0" applyFont="1" applyFill="1" applyBorder="1" applyAlignment="1">
      <alignment horizontal="left" vertical="center" wrapText="1" indent="1" readingOrder="1"/>
    </xf>
    <xf numFmtId="0" fontId="6" fillId="0" borderId="7" xfId="0" applyFont="1" applyBorder="1"/>
    <xf numFmtId="0" fontId="3" fillId="12" borderId="10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6" fontId="5" fillId="12" borderId="10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/>
    <xf numFmtId="0" fontId="6" fillId="12" borderId="10" xfId="0" applyFont="1" applyFill="1" applyBorder="1"/>
    <xf numFmtId="6" fontId="5" fillId="15" borderId="11" xfId="0" applyNumberFormat="1" applyFont="1" applyFill="1" applyBorder="1" applyAlignment="1">
      <alignment horizontal="center" vertical="center" wrapText="1"/>
    </xf>
    <xf numFmtId="0" fontId="6" fillId="12" borderId="7" xfId="0" applyFont="1" applyFill="1" applyBorder="1"/>
    <xf numFmtId="0" fontId="5" fillId="12" borderId="10" xfId="0" applyFont="1" applyFill="1" applyBorder="1" applyAlignment="1">
      <alignment horizontal="center" vertical="center" wrapText="1"/>
    </xf>
    <xf numFmtId="0" fontId="0" fillId="0" borderId="13" xfId="0" applyBorder="1"/>
    <xf numFmtId="0" fontId="5" fillId="2" borderId="12" xfId="0" applyFont="1" applyFill="1" applyBorder="1" applyAlignment="1">
      <alignment horizontal="center" vertical="center" wrapText="1"/>
    </xf>
    <xf numFmtId="6" fontId="5" fillId="8" borderId="11" xfId="0" applyNumberFormat="1" applyFont="1" applyFill="1" applyBorder="1" applyAlignment="1">
      <alignment horizontal="center" vertical="center" wrapText="1"/>
    </xf>
    <xf numFmtId="6" fontId="5" fillId="8" borderId="13" xfId="0" applyNumberFormat="1" applyFont="1" applyFill="1" applyBorder="1" applyAlignment="1">
      <alignment horizontal="center" vertical="center" wrapText="1"/>
    </xf>
    <xf numFmtId="6" fontId="5" fillId="0" borderId="13" xfId="0" applyNumberFormat="1" applyFont="1" applyBorder="1" applyAlignment="1">
      <alignment horizontal="center" vertical="center" wrapText="1"/>
    </xf>
    <xf numFmtId="6" fontId="5" fillId="0" borderId="6" xfId="0" applyNumberFormat="1" applyFont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49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7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rial"/>
        <family val="2"/>
        <scheme val="none"/>
      </font>
      <numFmt numFmtId="164" formatCode="#,##0\ &quot;€&quot;"/>
      <alignment horizontal="left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2B64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outline="0">
        <top style="medium">
          <color rgb="FFE9E9E9"/>
        </top>
      </border>
    </dxf>
    <dxf>
      <border outline="0">
        <bottom style="medium">
          <color rgb="FFE9E9E9"/>
        </bottom>
      </border>
    </dxf>
    <dxf>
      <border outline="0">
        <bottom style="medium">
          <color rgb="FFE9E9E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DFDFD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rial"/>
        <family val="2"/>
        <scheme val="none"/>
      </font>
      <numFmt numFmtId="164" formatCode="#,##0\ &quot;€&quot;"/>
      <alignment horizontal="left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2B64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outline="0">
        <top style="medium">
          <color rgb="FFE9E9E9"/>
        </top>
      </border>
    </dxf>
    <dxf>
      <border outline="0">
        <bottom style="medium">
          <color rgb="FFE9E9E9"/>
        </bottom>
      </border>
    </dxf>
    <dxf>
      <border outline="0">
        <bottom style="medium">
          <color rgb="FFE9E9E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DFDFD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2B64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outline="0">
        <top style="medium">
          <color rgb="FFE9E9E9"/>
        </top>
      </border>
    </dxf>
    <dxf>
      <border outline="0">
        <bottom style="medium">
          <color rgb="FFE9E9E9"/>
        </bottom>
      </border>
    </dxf>
    <dxf>
      <border outline="0">
        <bottom style="medium">
          <color rgb="FFE9E9E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DFDFD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rial"/>
        <family val="2"/>
        <scheme val="none"/>
      </font>
      <numFmt numFmtId="164" formatCode="#,##0\ &quot;€&quot;"/>
      <alignment horizontal="left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#,##0\ &quot;€&quot;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9.9978637043366805E-2"/>
        </left>
        <right style="medium">
          <color theme="5"/>
        </right>
        <top style="thin">
          <color theme="0" tint="-9.9978637043366805E-2"/>
        </top>
        <bottom style="thin">
          <color theme="0" tint="-9.9978637043366805E-2"/>
        </bottom>
        <vertical/>
        <horizontal style="thin">
          <color theme="0" tint="-9.9978637043366805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2B64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theme="0" tint="-9.9978637043366805E-2"/>
        </left>
        <right style="thin">
          <color theme="0" tint="-9.9978637043366805E-2"/>
        </right>
        <top style="thin">
          <color theme="0" tint="-9.9978637043366805E-2"/>
        </top>
        <bottom style="thin">
          <color theme="0" tint="-9.9978637043366805E-2"/>
        </bottom>
        <vertical style="thin">
          <color theme="0" tint="-9.9978637043366805E-2"/>
        </vertical>
        <horizontal style="thin">
          <color theme="0" tint="-9.9978637043366805E-2"/>
        </horizontal>
      </border>
    </dxf>
    <dxf>
      <border outline="0">
        <top style="medium">
          <color rgb="FFE9E9E9"/>
        </top>
      </border>
    </dxf>
    <dxf>
      <border outline="0">
        <bottom style="medium">
          <color rgb="FFE9E9E9"/>
        </bottom>
      </border>
    </dxf>
    <dxf>
      <border outline="0">
        <bottom style="medium">
          <color rgb="FFE9E9E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DFDFD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95A0C-3910-4D05-BA27-BA8FDC32B0E0}" name="Tableau1" displayName="Tableau1" ref="A1:N24" totalsRowShown="0" headerRowDxfId="55" headerRowBorderDxfId="54" tableBorderDxfId="53" totalsRowBorderDxfId="52">
  <autoFilter ref="A1:N24" xr:uid="{FCA95A0C-3910-4D05-BA27-BA8FDC32B0E0}"/>
  <tableColumns count="14">
    <tableColumn id="1" xr3:uid="{45B28EC4-9EB8-4352-BAF9-7ACCA11CBB26}" name="Actions" dataDxfId="51"/>
    <tableColumn id="2" xr3:uid="{393B2DCB-FC0E-4D5D-81C3-C453A4E2C9FB}" name="Jan" dataDxfId="50"/>
    <tableColumn id="3" xr3:uid="{B0A624AA-9E55-419F-A54C-B68DFDE3F547}" name="Feb" dataDxfId="49"/>
    <tableColumn id="4" xr3:uid="{505BBD66-D383-453F-B493-D5C9F7EA9BEB}" name="Mar" dataDxfId="48"/>
    <tableColumn id="5" xr3:uid="{B8BD43E3-6F4A-46BA-8AE0-125297C6BDB0}" name="Apr" dataDxfId="47"/>
    <tableColumn id="6" xr3:uid="{78126125-2B40-43C1-AE3A-054EAB54A293}" name="May" dataDxfId="46"/>
    <tableColumn id="7" xr3:uid="{E2136FDF-E14B-4C83-BBCE-E87275607C68}" name="Jun" dataDxfId="45"/>
    <tableColumn id="8" xr3:uid="{6A582594-5F6F-40C6-8AA1-FF8D295FE0CE}" name="Jul" dataDxfId="44"/>
    <tableColumn id="9" xr3:uid="{20463FC5-4E9F-442E-B229-4931348D9068}" name="Aug" dataDxfId="43"/>
    <tableColumn id="10" xr3:uid="{B138837E-7DFD-4724-A417-D437DC3EE059}" name="Sep" dataDxfId="42"/>
    <tableColumn id="11" xr3:uid="{31DF14C8-1A35-44E2-9D4B-8C8A5442CF83}" name="Oct" dataDxfId="41"/>
    <tableColumn id="12" xr3:uid="{967A5F79-E704-41E0-B125-DE6EDB8E7F40}" name="Nov" dataDxfId="40"/>
    <tableColumn id="13" xr3:uid="{DCCECA54-6B4A-4556-8488-304ADC11471F}" name="Dec" dataDxfId="39"/>
    <tableColumn id="15" xr3:uid="{261703D4-E60C-488C-83B7-CC7711A203F0}" name="TOTAL" dataDxfId="38">
      <calculatedColumnFormula>SUM(Tableau1[[#This Row],[Jan]:[Dec]])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8E4FAD-8116-42E1-A53D-4B1357C0557E}" name="Tableau13" displayName="Tableau13" ref="A1:O33" totalsRowShown="0" headerRowDxfId="74" headerRowBorderDxfId="73" tableBorderDxfId="72" totalsRowBorderDxfId="71">
  <autoFilter ref="A1:O33" xr:uid="{FCA95A0C-3910-4D05-BA27-BA8FDC32B0E0}"/>
  <tableColumns count="15">
    <tableColumn id="1" xr3:uid="{DF2F50C3-682B-4291-8D20-A3E72D44AE3C}" name="Marketing Action plan for countries - 100k$" dataDxfId="70"/>
    <tableColumn id="2" xr3:uid="{33930D06-3285-4709-8362-F17EF0C39314}" name="Jan" dataDxfId="69"/>
    <tableColumn id="3" xr3:uid="{47377E52-102D-4881-8D03-CB83A0FAE0D9}" name="Feb" dataDxfId="68"/>
    <tableColumn id="4" xr3:uid="{65482665-0512-42DD-BE55-6691A279E4BA}" name="Mar" dataDxfId="67"/>
    <tableColumn id="5" xr3:uid="{22D63389-43E8-4ACB-8B50-CED4069732FD}" name="Apr" dataDxfId="66"/>
    <tableColumn id="6" xr3:uid="{F0330106-C670-422A-8B65-4FAAFEC31A89}" name="May" dataDxfId="65"/>
    <tableColumn id="7" xr3:uid="{93BC8215-94CC-4D89-AF5D-A8215793FEF3}" name="Jun" dataDxfId="64"/>
    <tableColumn id="8" xr3:uid="{3DF934BD-E417-4522-B991-19664DFCD3EE}" name="Jul" dataDxfId="63"/>
    <tableColumn id="9" xr3:uid="{37BD5112-D06F-4F9F-860F-EE92E4AA1410}" name="Aug" dataDxfId="62"/>
    <tableColumn id="10" xr3:uid="{8707CBA3-F5B7-4CC7-90FE-9D93A8D59FB5}" name="Sep" dataDxfId="61"/>
    <tableColumn id="11" xr3:uid="{1D3C3BC2-9E76-4E2F-A3A1-5484BEA384DF}" name="Oct" dataDxfId="60"/>
    <tableColumn id="12" xr3:uid="{DD4DB756-C168-40B1-8924-5627BC85461B}" name="Nov" dataDxfId="59"/>
    <tableColumn id="13" xr3:uid="{CE3D0B36-1CA6-40E5-B22B-F2F61EC504AE}" name="Dec" dataDxfId="58"/>
    <tableColumn id="15" xr3:uid="{56A1DB31-599A-49D8-8180-1C4C29B3ED01}" name="TOTAL" dataDxfId="57">
      <calculatedColumnFormula>SUM(Tableau13[[#This Row],[Jan]:[Dec]])</calculatedColumnFormula>
    </tableColumn>
    <tableColumn id="14" xr3:uid="{C8191190-7AB1-498E-9253-ADEA60004990}" name="GOAL" dataDxfId="5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8BA45E-7092-4076-B5F3-A852F659CCDE}" name="Tableau134" displayName="Tableau134" ref="A1:O33" totalsRowShown="0" headerRowDxfId="37" headerRowBorderDxfId="36" tableBorderDxfId="35" totalsRowBorderDxfId="34">
  <autoFilter ref="A1:O33" xr:uid="{FCA95A0C-3910-4D05-BA27-BA8FDC32B0E0}"/>
  <tableColumns count="15">
    <tableColumn id="1" xr3:uid="{BBD78182-2409-4E90-B8E5-1AED926F8AEF}" name="Marketing Action plan for countries - 60K$" dataDxfId="33"/>
    <tableColumn id="2" xr3:uid="{30E3AA55-622F-44FC-AF45-8E6C54CA10D0}" name="Jan" dataDxfId="32"/>
    <tableColumn id="3" xr3:uid="{716B6E50-F80F-4B3C-9A4D-4388DA464E2B}" name="Feb" dataDxfId="31"/>
    <tableColumn id="4" xr3:uid="{18B7E63B-AAC4-41E3-8BC5-439B236DE721}" name="Mar" dataDxfId="30"/>
    <tableColumn id="5" xr3:uid="{6C29F039-F3E9-457F-9A8B-A89E2617DDD6}" name="Apr" dataDxfId="29"/>
    <tableColumn id="6" xr3:uid="{5EB97E69-4007-4E51-90BF-D49136CBE480}" name="May" dataDxfId="28"/>
    <tableColumn id="7" xr3:uid="{A323D345-C647-44A3-BB2E-2C741F90C252}" name="Jun" dataDxfId="27"/>
    <tableColumn id="8" xr3:uid="{CECE0599-D783-4A60-8207-EDDD5FC23009}" name="Jul" dataDxfId="26"/>
    <tableColumn id="9" xr3:uid="{487FD602-0673-467E-8966-511D3F62F61C}" name="Aug" dataDxfId="25"/>
    <tableColumn id="10" xr3:uid="{AEE4C29D-5111-4D90-B336-5ACC30108D84}" name="Sep" dataDxfId="24"/>
    <tableColumn id="11" xr3:uid="{4E8454AA-AF5B-4A3D-8776-3FD59E8BB85A}" name="Oct" dataDxfId="23"/>
    <tableColumn id="12" xr3:uid="{FC9B8E1D-B6E8-4343-8E7C-859C3DFBE10D}" name="Nov" dataDxfId="22"/>
    <tableColumn id="13" xr3:uid="{73A26D94-6009-4E24-9E0F-E95EA14F594B}" name="Dec" dataDxfId="21"/>
    <tableColumn id="15" xr3:uid="{401C8A19-B1D6-43D9-9F6B-DFA7D5423861}" name="TOTAL" dataDxfId="20">
      <calculatedColumnFormula>SUM(Tableau134[[#This Row],[Jan]:[Dec]])</calculatedColumnFormula>
    </tableColumn>
    <tableColumn id="14" xr3:uid="{C5B2BFE0-6073-40CF-9474-2AD43E702B56}" name="GOAL" dataDxfId="1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B55C9-A411-4F83-BD75-E1B567D7819E}" name="Tableau1345" displayName="Tableau1345" ref="A1:O33" totalsRowShown="0" headerRowDxfId="18" headerRowBorderDxfId="17" tableBorderDxfId="16" totalsRowBorderDxfId="15">
  <autoFilter ref="A1:O33" xr:uid="{FCA95A0C-3910-4D05-BA27-BA8FDC32B0E0}"/>
  <tableColumns count="15">
    <tableColumn id="1" xr3:uid="{8C9C9624-2B10-47D4-8233-C21290BADB42}" name="Marketing Action plan for countries - 30K$" dataDxfId="14"/>
    <tableColumn id="2" xr3:uid="{8DC69748-17C3-4EEE-99F0-AC4CF1CA86A3}" name="Jan" dataDxfId="13"/>
    <tableColumn id="3" xr3:uid="{D43C833F-BDB3-48E7-968F-BD1EF543B6E6}" name="Feb" dataDxfId="12"/>
    <tableColumn id="4" xr3:uid="{48B56B29-8CC7-4C91-989C-440B06458A08}" name="Mar" dataDxfId="11"/>
    <tableColumn id="5" xr3:uid="{C4205A42-34B8-4938-A839-6743A28B2D3E}" name="Apr" dataDxfId="10"/>
    <tableColumn id="6" xr3:uid="{CCCD827E-C07E-451F-B749-880412BDB17D}" name="May" dataDxfId="9"/>
    <tableColumn id="7" xr3:uid="{4F3C1DAC-BB8D-4623-AECF-DAE5D8514A77}" name="Jun" dataDxfId="8"/>
    <tableColumn id="8" xr3:uid="{D6B23211-5392-4E9B-B935-24744DDB96FC}" name="Jul" dataDxfId="7"/>
    <tableColumn id="9" xr3:uid="{8C0AF22E-1519-4BD7-9190-B36C82C1DC01}" name="Aug" dataDxfId="6"/>
    <tableColumn id="10" xr3:uid="{8C75A3AC-D7FA-448A-9E68-292BCAB2AD1A}" name="Sep" dataDxfId="5"/>
    <tableColumn id="11" xr3:uid="{813C1F67-A15F-4E38-AD69-BF00BAF5480F}" name="Oct" dataDxfId="4"/>
    <tableColumn id="12" xr3:uid="{CAEFABAF-27AE-4AA2-968C-9744557509E4}" name="Nov" dataDxfId="3"/>
    <tableColumn id="13" xr3:uid="{6E0AE3E1-A2E8-4CC5-A11E-1F7CCB7F2893}" name="Dec" dataDxfId="2"/>
    <tableColumn id="15" xr3:uid="{1091F42B-DC7E-4FCF-B82C-CC0FFE834CCC}" name="TOTAL" dataDxfId="1">
      <calculatedColumnFormula>SUM(Tableau1345[[#This Row],[Jan]:[Dec]])</calculatedColumnFormula>
    </tableColumn>
    <tableColumn id="14" xr3:uid="{37096354-39F2-47EC-9012-980D59312FD2}" name="GO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P theme 2025">
  <a:themeElements>
    <a:clrScheme name="Personnalisé 1">
      <a:dk1>
        <a:srgbClr val="2C2B64"/>
      </a:dk1>
      <a:lt1>
        <a:srgbClr val="FDFDFD"/>
      </a:lt1>
      <a:dk2>
        <a:srgbClr val="111314"/>
      </a:dk2>
      <a:lt2>
        <a:srgbClr val="929292"/>
      </a:lt2>
      <a:accent1>
        <a:srgbClr val="2C2B64"/>
      </a:accent1>
      <a:accent2>
        <a:srgbClr val="3466CE"/>
      </a:accent2>
      <a:accent3>
        <a:srgbClr val="FF5338"/>
      </a:accent3>
      <a:accent4>
        <a:srgbClr val="FFC000"/>
      </a:accent4>
      <a:accent5>
        <a:srgbClr val="5CC29D"/>
      </a:accent5>
      <a:accent6>
        <a:srgbClr val="F27798"/>
      </a:accent6>
      <a:hlink>
        <a:srgbClr val="3466CE"/>
      </a:hlink>
      <a:folHlink>
        <a:srgbClr val="F27798"/>
      </a:folHlink>
    </a:clrScheme>
    <a:fontScheme name="MP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P theme 2025" id="{E5A76E7E-A8FB-4312-A8AB-72615196B10D}" vid="{3B651A08-0272-4251-9246-54CC94ED30E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F812-EF36-4A09-B8CB-1DBDA26D2B56}">
  <dimension ref="A1:N42"/>
  <sheetViews>
    <sheetView zoomScale="50" zoomScaleNormal="50" workbookViewId="0">
      <selection activeCell="B35" sqref="B35"/>
    </sheetView>
  </sheetViews>
  <sheetFormatPr baseColWidth="10" defaultColWidth="11" defaultRowHeight="13.8" x14ac:dyDescent="0.25"/>
  <cols>
    <col min="1" max="1" width="67.59765625" customWidth="1"/>
    <col min="2" max="14" width="20.69921875" customWidth="1"/>
  </cols>
  <sheetData>
    <row r="1" spans="1:14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2" t="s">
        <v>13</v>
      </c>
    </row>
    <row r="2" spans="1:14" ht="30" customHeight="1" x14ac:dyDescent="0.25">
      <c r="A2" s="28" t="s">
        <v>14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32"/>
    </row>
    <row r="3" spans="1:14" s="1" customFormat="1" ht="30" customHeight="1" x14ac:dyDescent="0.25">
      <c r="A3" s="7" t="s">
        <v>15</v>
      </c>
      <c r="B3" s="21" t="s">
        <v>16</v>
      </c>
      <c r="C3" s="9"/>
      <c r="D3" s="9"/>
      <c r="E3" s="9"/>
      <c r="F3" s="9"/>
      <c r="G3" s="9"/>
      <c r="H3" s="9"/>
      <c r="I3" s="9"/>
      <c r="J3" s="9"/>
      <c r="K3" s="21" t="s">
        <v>17</v>
      </c>
      <c r="L3" s="21" t="s">
        <v>18</v>
      </c>
      <c r="M3" s="21" t="s">
        <v>19</v>
      </c>
      <c r="N3" s="33"/>
    </row>
    <row r="4" spans="1:14" s="1" customFormat="1" ht="30" customHeight="1" x14ac:dyDescent="0.25">
      <c r="A4" s="7" t="s">
        <v>20</v>
      </c>
      <c r="B4" s="23"/>
      <c r="C4" s="23"/>
      <c r="D4" s="23"/>
      <c r="E4" s="21"/>
      <c r="F4" s="23"/>
      <c r="G4" s="23"/>
      <c r="H4" s="21"/>
      <c r="I4" s="21"/>
      <c r="J4" s="21"/>
      <c r="K4" s="21"/>
      <c r="L4" s="23"/>
      <c r="M4" s="23"/>
      <c r="N4" s="33"/>
    </row>
    <row r="5" spans="1:14" s="1" customFormat="1" ht="30" customHeight="1" x14ac:dyDescent="0.25">
      <c r="A5" s="7" t="s">
        <v>21</v>
      </c>
      <c r="B5" s="9"/>
      <c r="C5" s="21" t="s">
        <v>22</v>
      </c>
      <c r="D5" s="9"/>
      <c r="E5" s="21" t="s">
        <v>22</v>
      </c>
      <c r="F5" s="9"/>
      <c r="G5" s="21" t="s">
        <v>22</v>
      </c>
      <c r="H5" s="9"/>
      <c r="I5" s="21" t="s">
        <v>22</v>
      </c>
      <c r="J5" s="21" t="s">
        <v>22</v>
      </c>
      <c r="K5" s="9"/>
      <c r="L5" s="9"/>
      <c r="M5" s="9"/>
      <c r="N5" s="34"/>
    </row>
    <row r="6" spans="1:14" s="1" customFormat="1" ht="30" customHeight="1" x14ac:dyDescent="0.25">
      <c r="A6" s="28" t="s">
        <v>23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35"/>
    </row>
    <row r="7" spans="1:14" s="1" customFormat="1" ht="30" customHeight="1" x14ac:dyDescent="0.25">
      <c r="A7" s="7" t="s">
        <v>24</v>
      </c>
      <c r="B7" s="9"/>
      <c r="C7" s="9"/>
      <c r="D7" s="21" t="s">
        <v>22</v>
      </c>
      <c r="E7" s="21" t="s">
        <v>22</v>
      </c>
      <c r="F7" s="21" t="s">
        <v>22</v>
      </c>
      <c r="G7" s="9"/>
      <c r="H7" s="9"/>
      <c r="I7" s="9"/>
      <c r="J7" s="9"/>
      <c r="K7" s="9"/>
      <c r="L7" s="9"/>
      <c r="M7" s="9"/>
      <c r="N7" s="34"/>
    </row>
    <row r="8" spans="1:14" s="1" customFormat="1" ht="30" customHeight="1" x14ac:dyDescent="0.25">
      <c r="A8" s="7" t="s">
        <v>25</v>
      </c>
      <c r="B8" s="9"/>
      <c r="C8" s="9"/>
      <c r="D8" s="9"/>
      <c r="E8" s="9"/>
      <c r="F8" s="9"/>
      <c r="G8" s="9"/>
      <c r="H8" s="9"/>
      <c r="I8" s="9"/>
      <c r="J8" s="8" t="s">
        <v>22</v>
      </c>
      <c r="K8" s="8" t="s">
        <v>22</v>
      </c>
      <c r="L8" s="8" t="s">
        <v>22</v>
      </c>
      <c r="M8" s="9"/>
      <c r="N8" s="34"/>
    </row>
    <row r="9" spans="1:14" s="1" customFormat="1" ht="30" customHeight="1" x14ac:dyDescent="0.25">
      <c r="A9" s="7" t="s">
        <v>26</v>
      </c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  <c r="J9" s="10" t="s">
        <v>27</v>
      </c>
      <c r="K9" s="10" t="s">
        <v>27</v>
      </c>
      <c r="L9" s="10" t="s">
        <v>27</v>
      </c>
      <c r="M9" s="10" t="s">
        <v>27</v>
      </c>
      <c r="N9" s="34"/>
    </row>
    <row r="10" spans="1:14" ht="30" customHeight="1" x14ac:dyDescent="0.25">
      <c r="A10" s="27" t="s">
        <v>28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36">
        <f>SUM(N11:N14)</f>
        <v>65000</v>
      </c>
    </row>
    <row r="11" spans="1:14" ht="30" customHeight="1" x14ac:dyDescent="0.25">
      <c r="A11" s="11" t="s">
        <v>29</v>
      </c>
      <c r="B11" s="10"/>
      <c r="C11" s="25">
        <v>2000</v>
      </c>
      <c r="D11" s="25">
        <v>2000</v>
      </c>
      <c r="E11" s="25">
        <v>2000</v>
      </c>
      <c r="F11" s="10"/>
      <c r="G11" s="10"/>
      <c r="H11" s="10"/>
      <c r="I11" s="10"/>
      <c r="J11" s="25">
        <v>2000</v>
      </c>
      <c r="K11" s="25">
        <v>2000</v>
      </c>
      <c r="L11" s="25">
        <v>2000</v>
      </c>
      <c r="M11" s="10"/>
      <c r="N11" s="34">
        <f>SUM(Tableau1[[#This Row],[Jan]:[Dec]])</f>
        <v>12000</v>
      </c>
    </row>
    <row r="12" spans="1:14" ht="30" customHeight="1" x14ac:dyDescent="0.25">
      <c r="A12" s="11" t="s">
        <v>30</v>
      </c>
      <c r="B12" s="10"/>
      <c r="C12" s="25">
        <v>3000</v>
      </c>
      <c r="D12" s="25">
        <v>3000</v>
      </c>
      <c r="E12" s="25">
        <v>3000</v>
      </c>
      <c r="F12" s="10"/>
      <c r="G12" s="10"/>
      <c r="H12" s="10"/>
      <c r="I12" s="10"/>
      <c r="J12" s="25">
        <v>3000</v>
      </c>
      <c r="K12" s="25">
        <v>3000</v>
      </c>
      <c r="L12" s="25">
        <v>3000</v>
      </c>
      <c r="M12" s="10"/>
      <c r="N12" s="34">
        <f>SUM(Tableau1[[#This Row],[Jan]:[Dec]])</f>
        <v>18000</v>
      </c>
    </row>
    <row r="13" spans="1:14" ht="30" customHeight="1" x14ac:dyDescent="0.25">
      <c r="A13" s="11" t="s">
        <v>31</v>
      </c>
      <c r="B13" s="10"/>
      <c r="C13" s="10"/>
      <c r="D13" s="25">
        <v>10000</v>
      </c>
      <c r="E13" s="10"/>
      <c r="F13" s="10"/>
      <c r="G13" s="25">
        <v>10000</v>
      </c>
      <c r="H13" s="10"/>
      <c r="I13" s="10"/>
      <c r="J13" s="25">
        <v>10000</v>
      </c>
      <c r="K13" s="10"/>
      <c r="L13" s="10"/>
      <c r="M13" s="10"/>
      <c r="N13" s="34">
        <f>SUM(Tableau1[[#This Row],[Jan]:[Dec]])</f>
        <v>30000</v>
      </c>
    </row>
    <row r="14" spans="1:14" ht="30" customHeight="1" x14ac:dyDescent="0.25">
      <c r="A14" s="7" t="s">
        <v>32</v>
      </c>
      <c r="B14" s="12"/>
      <c r="C14" s="12"/>
      <c r="D14" s="26"/>
      <c r="E14" s="10"/>
      <c r="F14" s="12"/>
      <c r="G14" s="26"/>
      <c r="H14" s="10"/>
      <c r="I14" s="10"/>
      <c r="J14" s="25"/>
      <c r="K14" s="10"/>
      <c r="L14" s="12"/>
      <c r="M14" s="12"/>
      <c r="N14" s="34">
        <v>5000</v>
      </c>
    </row>
    <row r="15" spans="1:14" ht="30" customHeight="1" x14ac:dyDescent="0.25">
      <c r="A15" s="27" t="s">
        <v>33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36">
        <f>SUM(N16:N19)</f>
        <v>61000</v>
      </c>
    </row>
    <row r="16" spans="1:14" ht="30" customHeight="1" x14ac:dyDescent="0.25">
      <c r="A16" s="11" t="s">
        <v>34</v>
      </c>
      <c r="B16" s="10"/>
      <c r="C16" s="25">
        <v>2000</v>
      </c>
      <c r="D16" s="25">
        <v>2000</v>
      </c>
      <c r="E16" s="25">
        <v>2000</v>
      </c>
      <c r="F16" s="10"/>
      <c r="G16" s="10"/>
      <c r="H16" s="10"/>
      <c r="I16" s="10"/>
      <c r="J16" s="25">
        <v>2000</v>
      </c>
      <c r="K16" s="25">
        <v>2000</v>
      </c>
      <c r="L16" s="25">
        <v>2000</v>
      </c>
      <c r="M16" s="10"/>
      <c r="N16" s="34">
        <f>SUM(Tableau1[[#This Row],[Jan]:[Dec]])</f>
        <v>12000</v>
      </c>
    </row>
    <row r="17" spans="1:14" ht="30" customHeight="1" x14ac:dyDescent="0.25">
      <c r="A17" s="11" t="s">
        <v>35</v>
      </c>
      <c r="B17" s="10"/>
      <c r="C17" s="13"/>
      <c r="D17" s="25">
        <v>3000</v>
      </c>
      <c r="E17" s="13"/>
      <c r="F17" s="10"/>
      <c r="G17" s="25">
        <v>3000</v>
      </c>
      <c r="H17" s="10"/>
      <c r="I17" s="10"/>
      <c r="J17" s="25">
        <v>3000</v>
      </c>
      <c r="K17" s="13"/>
      <c r="L17" s="13"/>
      <c r="M17" s="10"/>
      <c r="N17" s="34">
        <f>SUM(Tableau1[[#This Row],[Jan]:[Dec]])</f>
        <v>9000</v>
      </c>
    </row>
    <row r="18" spans="1:14" ht="30" customHeight="1" x14ac:dyDescent="0.25">
      <c r="A18" s="11" t="s">
        <v>36</v>
      </c>
      <c r="B18" s="10"/>
      <c r="C18" s="10"/>
      <c r="D18" s="25">
        <v>10000</v>
      </c>
      <c r="E18" s="10"/>
      <c r="F18" s="10"/>
      <c r="G18" s="25">
        <v>10000</v>
      </c>
      <c r="H18" s="10"/>
      <c r="I18" s="10"/>
      <c r="J18" s="25">
        <v>10000</v>
      </c>
      <c r="K18" s="10"/>
      <c r="L18" s="10"/>
      <c r="M18" s="10"/>
      <c r="N18" s="34">
        <f>SUM(Tableau1[[#This Row],[Jan]:[Dec]])</f>
        <v>30000</v>
      </c>
    </row>
    <row r="19" spans="1:14" ht="30" customHeight="1" x14ac:dyDescent="0.25">
      <c r="A19" s="11" t="s">
        <v>37</v>
      </c>
      <c r="B19" s="12"/>
      <c r="C19" s="12"/>
      <c r="D19" s="12"/>
      <c r="E19" s="25">
        <v>10000</v>
      </c>
      <c r="F19" s="12"/>
      <c r="G19" s="12"/>
      <c r="H19" s="14"/>
      <c r="I19" s="14"/>
      <c r="J19" s="25" t="s">
        <v>38</v>
      </c>
      <c r="K19" s="14"/>
      <c r="L19" s="12"/>
      <c r="M19" s="12"/>
      <c r="N19" s="34">
        <f>SUM(Tableau1[[#This Row],[Jan]:[Dec]])</f>
        <v>10000</v>
      </c>
    </row>
    <row r="20" spans="1:14" ht="22.8" x14ac:dyDescent="0.25">
      <c r="A20" s="6" t="s">
        <v>39</v>
      </c>
      <c r="B20" s="15"/>
      <c r="C20" s="15"/>
      <c r="D20" s="15"/>
      <c r="E20" s="16"/>
      <c r="F20" s="15"/>
      <c r="G20" s="15"/>
      <c r="H20" s="16"/>
      <c r="I20" s="16"/>
      <c r="J20" s="16"/>
      <c r="K20" s="16"/>
      <c r="L20" s="15"/>
      <c r="M20" s="15"/>
      <c r="N20" s="37"/>
    </row>
    <row r="21" spans="1:14" ht="22.8" x14ac:dyDescent="0.25">
      <c r="A21" s="19" t="s">
        <v>40</v>
      </c>
      <c r="B21" s="17"/>
      <c r="C21" s="17"/>
      <c r="D21" s="17"/>
      <c r="E21" s="18"/>
      <c r="F21" s="17"/>
      <c r="G21" s="17"/>
      <c r="H21" s="18"/>
      <c r="I21" s="18"/>
      <c r="J21" s="18"/>
      <c r="K21" s="18"/>
      <c r="L21" s="17"/>
      <c r="M21" s="17"/>
      <c r="N21" s="38"/>
    </row>
    <row r="22" spans="1:14" ht="22.8" x14ac:dyDescent="0.25">
      <c r="A22" s="19" t="s">
        <v>41</v>
      </c>
      <c r="B22" s="17"/>
      <c r="C22" s="17"/>
      <c r="D22" s="17"/>
      <c r="E22" s="8" t="s">
        <v>42</v>
      </c>
      <c r="F22" s="17"/>
      <c r="G22" s="17"/>
      <c r="H22" s="18"/>
      <c r="I22" s="18"/>
      <c r="J22" s="8" t="s">
        <v>42</v>
      </c>
      <c r="K22" s="18"/>
      <c r="L22" s="17"/>
      <c r="M22" s="17"/>
      <c r="N22" s="38"/>
    </row>
    <row r="23" spans="1:14" ht="22.8" x14ac:dyDescent="0.25">
      <c r="A23" s="19" t="s">
        <v>43</v>
      </c>
      <c r="B23" s="17"/>
      <c r="C23" s="17"/>
      <c r="D23" s="17"/>
      <c r="E23" s="18"/>
      <c r="F23" s="17"/>
      <c r="G23" s="17"/>
      <c r="H23" s="18"/>
      <c r="I23" s="18"/>
      <c r="J23" s="18"/>
      <c r="K23" s="18"/>
      <c r="L23" s="17"/>
      <c r="M23" s="17"/>
      <c r="N23" s="38"/>
    </row>
    <row r="24" spans="1:14" ht="17.399999999999999" x14ac:dyDescent="0.25">
      <c r="A24" s="29" t="s">
        <v>13</v>
      </c>
      <c r="B24" s="30"/>
      <c r="C24" s="30"/>
      <c r="D24" s="30"/>
      <c r="E24" s="31"/>
      <c r="F24" s="30"/>
      <c r="G24" s="30"/>
      <c r="H24" s="31"/>
      <c r="I24" s="31"/>
      <c r="J24" s="31"/>
      <c r="K24" s="31"/>
      <c r="L24" s="30"/>
      <c r="M24" s="30"/>
      <c r="N24" s="39">
        <f>SUM(N10,N15)</f>
        <v>126000</v>
      </c>
    </row>
    <row r="29" spans="1:14" x14ac:dyDescent="0.25">
      <c r="E29" t="s">
        <v>44</v>
      </c>
    </row>
    <row r="42" spans="5:5" x14ac:dyDescent="0.25">
      <c r="E42" t="s">
        <v>44</v>
      </c>
    </row>
  </sheetData>
  <phoneticPr fontId="14" type="noConversion"/>
  <pageMargins left="0.7" right="0.7" top="0.75" bottom="0.75" header="0.3" footer="0.3"/>
  <headerFooter>
    <oddFooter>&amp;C_x000D_&amp;1#&amp;"Aptos"&amp;10&amp;K000000 Sensitivity: C2-Restricted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440C-81E5-45BB-8EA0-9644C0EB2252}">
  <dimension ref="A1:Q51"/>
  <sheetViews>
    <sheetView tabSelected="1" zoomScale="60" zoomScaleNormal="60" workbookViewId="0">
      <pane ySplit="1" topLeftCell="A12" activePane="bottomLeft" state="frozen"/>
      <selection pane="bottomLeft" activeCell="A16" sqref="A16"/>
    </sheetView>
  </sheetViews>
  <sheetFormatPr baseColWidth="10" defaultColWidth="11" defaultRowHeight="13.8" x14ac:dyDescent="0.25"/>
  <cols>
    <col min="1" max="1" width="77.3984375" customWidth="1"/>
    <col min="2" max="14" width="20.69921875" customWidth="1"/>
    <col min="15" max="15" width="93.5" customWidth="1"/>
    <col min="17" max="17" width="14.69921875" customWidth="1"/>
  </cols>
  <sheetData>
    <row r="1" spans="1:17" ht="49.95" customHeight="1" thickBot="1" x14ac:dyDescent="0.3">
      <c r="A1" s="85" t="s">
        <v>45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  <c r="M1" s="87" t="s">
        <v>12</v>
      </c>
      <c r="N1" s="88" t="s">
        <v>13</v>
      </c>
      <c r="O1" s="92" t="s">
        <v>46</v>
      </c>
      <c r="Q1" s="98"/>
    </row>
    <row r="2" spans="1:17" ht="49.95" customHeight="1" x14ac:dyDescent="0.25">
      <c r="A2" s="84" t="s">
        <v>47</v>
      </c>
      <c r="B2" s="63"/>
      <c r="C2" s="62"/>
      <c r="D2" s="40"/>
      <c r="E2" s="63"/>
      <c r="F2" s="62"/>
      <c r="G2" s="40"/>
      <c r="H2" s="40"/>
      <c r="I2" s="40"/>
      <c r="J2" s="40"/>
      <c r="K2" s="40"/>
      <c r="L2" s="40"/>
      <c r="M2" s="40"/>
      <c r="N2" s="45">
        <f>SUM(N3:N13)</f>
        <v>63000</v>
      </c>
      <c r="O2" s="93"/>
      <c r="Q2" s="111" t="s">
        <v>48</v>
      </c>
    </row>
    <row r="3" spans="1:17" s="1" customFormat="1" ht="49.95" customHeight="1" x14ac:dyDescent="0.25">
      <c r="A3" s="94" t="s">
        <v>49</v>
      </c>
      <c r="B3" s="56" t="s">
        <v>50</v>
      </c>
      <c r="C3" s="70"/>
      <c r="D3" s="8"/>
      <c r="E3" s="56"/>
      <c r="F3" s="70"/>
      <c r="G3" s="8"/>
      <c r="H3" s="8"/>
      <c r="I3" s="56"/>
      <c r="J3" s="70"/>
      <c r="K3" s="8" t="s">
        <v>17</v>
      </c>
      <c r="L3" s="56" t="s">
        <v>18</v>
      </c>
      <c r="M3" s="70" t="s">
        <v>50</v>
      </c>
      <c r="N3" s="34"/>
      <c r="O3" s="83" t="s">
        <v>51</v>
      </c>
      <c r="Q3" s="149" t="s">
        <v>52</v>
      </c>
    </row>
    <row r="4" spans="1:17" s="1" customFormat="1" ht="49.95" customHeight="1" x14ac:dyDescent="0.25">
      <c r="A4" s="94" t="s">
        <v>53</v>
      </c>
      <c r="B4" s="54"/>
      <c r="C4" s="114" t="s">
        <v>22</v>
      </c>
      <c r="D4" s="47"/>
      <c r="E4" s="56" t="s">
        <v>22</v>
      </c>
      <c r="F4" s="47"/>
      <c r="G4" s="8" t="s">
        <v>22</v>
      </c>
      <c r="H4" s="9"/>
      <c r="I4" s="56" t="s">
        <v>22</v>
      </c>
      <c r="J4" s="70" t="s">
        <v>22</v>
      </c>
      <c r="K4" s="9"/>
      <c r="L4" s="54"/>
      <c r="M4" s="47"/>
      <c r="N4" s="34"/>
      <c r="O4" s="83" t="s">
        <v>54</v>
      </c>
      <c r="Q4" s="115" t="s">
        <v>55</v>
      </c>
    </row>
    <row r="5" spans="1:17" s="1" customFormat="1" ht="49.95" customHeight="1" x14ac:dyDescent="0.25">
      <c r="A5" s="94" t="s">
        <v>56</v>
      </c>
      <c r="B5" s="56" t="s">
        <v>57</v>
      </c>
      <c r="C5" s="47"/>
      <c r="D5" s="12"/>
      <c r="E5" s="54"/>
      <c r="F5" s="47"/>
      <c r="G5" s="8" t="s">
        <v>27</v>
      </c>
      <c r="H5" s="9"/>
      <c r="I5" s="54"/>
      <c r="J5" s="70" t="s">
        <v>27</v>
      </c>
      <c r="K5" s="9"/>
      <c r="L5" s="54"/>
      <c r="M5" s="114" t="s">
        <v>58</v>
      </c>
      <c r="N5" s="74"/>
      <c r="O5" s="110" t="s">
        <v>59</v>
      </c>
      <c r="Q5" s="108" t="s">
        <v>60</v>
      </c>
    </row>
    <row r="6" spans="1:17" s="1" customFormat="1" ht="49.95" customHeight="1" x14ac:dyDescent="0.25">
      <c r="A6" s="96" t="s">
        <v>61</v>
      </c>
      <c r="B6" s="140"/>
      <c r="C6" s="141"/>
      <c r="D6" s="142"/>
      <c r="E6" s="143"/>
      <c r="F6" s="141"/>
      <c r="G6" s="142"/>
      <c r="H6" s="144"/>
      <c r="I6" s="143"/>
      <c r="J6" s="145"/>
      <c r="K6" s="144"/>
      <c r="L6" s="140"/>
      <c r="M6" s="141"/>
      <c r="N6" s="34"/>
      <c r="O6" s="83" t="s">
        <v>62</v>
      </c>
      <c r="Q6" s="112" t="s">
        <v>63</v>
      </c>
    </row>
    <row r="7" spans="1:17" ht="49.95" customHeight="1" x14ac:dyDescent="0.25">
      <c r="A7" s="96" t="s">
        <v>64</v>
      </c>
      <c r="B7" s="143"/>
      <c r="C7" s="145"/>
      <c r="D7" s="144"/>
      <c r="E7" s="143"/>
      <c r="F7" s="145"/>
      <c r="G7" s="144"/>
      <c r="H7" s="144"/>
      <c r="I7" s="143"/>
      <c r="J7" s="145"/>
      <c r="K7" s="144"/>
      <c r="L7" s="143"/>
      <c r="M7" s="145"/>
      <c r="N7" s="34"/>
      <c r="O7" s="97" t="s">
        <v>65</v>
      </c>
    </row>
    <row r="8" spans="1:17" ht="49.95" customHeight="1" x14ac:dyDescent="0.25">
      <c r="A8" s="95" t="s">
        <v>66</v>
      </c>
      <c r="B8" s="57"/>
      <c r="C8" s="49">
        <v>3000</v>
      </c>
      <c r="D8" s="25">
        <v>3000</v>
      </c>
      <c r="E8" s="25">
        <v>3000</v>
      </c>
      <c r="F8" s="50"/>
      <c r="G8" s="10"/>
      <c r="H8" s="10"/>
      <c r="I8" s="57"/>
      <c r="J8" s="49">
        <v>3000</v>
      </c>
      <c r="K8" s="25">
        <v>3000</v>
      </c>
      <c r="L8" s="65">
        <v>3000</v>
      </c>
      <c r="M8" s="50"/>
      <c r="N8" s="34">
        <f>SUM(Tableau13[[#This Row],[Jan]:[Dec]])</f>
        <v>18000</v>
      </c>
      <c r="O8" s="89" t="s">
        <v>67</v>
      </c>
    </row>
    <row r="9" spans="1:17" ht="49.95" customHeight="1" x14ac:dyDescent="0.25">
      <c r="A9" s="95" t="s">
        <v>68</v>
      </c>
      <c r="B9" s="57"/>
      <c r="C9" s="49">
        <v>2000</v>
      </c>
      <c r="D9" s="25">
        <v>2000</v>
      </c>
      <c r="E9" s="65">
        <v>2000</v>
      </c>
      <c r="F9" s="50"/>
      <c r="G9" s="10"/>
      <c r="H9" s="10"/>
      <c r="I9" s="57"/>
      <c r="J9" s="49">
        <v>2000</v>
      </c>
      <c r="K9" s="25">
        <v>2000</v>
      </c>
      <c r="L9" s="65">
        <v>2000</v>
      </c>
      <c r="M9" s="50"/>
      <c r="N9" s="34">
        <f>SUM(Tableau13[[#This Row],[Jan]:[Dec]])</f>
        <v>12000</v>
      </c>
      <c r="O9" s="89" t="s">
        <v>69</v>
      </c>
    </row>
    <row r="10" spans="1:17" ht="49.95" customHeight="1" x14ac:dyDescent="0.25">
      <c r="A10" s="95" t="s">
        <v>31</v>
      </c>
      <c r="B10" s="57"/>
      <c r="C10" s="50"/>
      <c r="D10" s="25">
        <v>10000</v>
      </c>
      <c r="E10" s="57"/>
      <c r="F10" s="50"/>
      <c r="G10" s="13"/>
      <c r="H10" s="10"/>
      <c r="I10" s="57"/>
      <c r="J10" s="49">
        <v>10000</v>
      </c>
      <c r="K10" s="10"/>
      <c r="L10" s="57"/>
      <c r="M10" s="50"/>
      <c r="N10" s="34">
        <f>SUM(Tableau13[[#This Row],[Jan]:[Dec]])</f>
        <v>20000</v>
      </c>
      <c r="O10" s="89" t="s">
        <v>70</v>
      </c>
    </row>
    <row r="11" spans="1:17" ht="49.95" customHeight="1" x14ac:dyDescent="0.25">
      <c r="A11" s="95" t="s">
        <v>71</v>
      </c>
      <c r="B11" s="57"/>
      <c r="C11" s="50"/>
      <c r="D11" s="12"/>
      <c r="E11" s="65">
        <v>1000</v>
      </c>
      <c r="F11" s="47"/>
      <c r="G11" s="116"/>
      <c r="H11" s="25">
        <v>1000</v>
      </c>
      <c r="I11" s="54"/>
      <c r="J11" s="117"/>
      <c r="K11" s="49">
        <v>1000</v>
      </c>
      <c r="L11" s="57"/>
      <c r="M11" s="50"/>
      <c r="N11" s="34">
        <f>SUM(Tableau13[[#This Row],[Jan]:[Dec]])</f>
        <v>3000</v>
      </c>
      <c r="O11" s="89" t="s">
        <v>72</v>
      </c>
    </row>
    <row r="12" spans="1:17" ht="49.95" customHeight="1" x14ac:dyDescent="0.25">
      <c r="A12" s="100" t="s">
        <v>73</v>
      </c>
      <c r="B12" s="57"/>
      <c r="C12" s="50"/>
      <c r="D12" s="10"/>
      <c r="E12" s="109">
        <v>10000</v>
      </c>
      <c r="F12" s="50"/>
      <c r="G12" s="10"/>
      <c r="H12" s="14"/>
      <c r="I12" s="66"/>
      <c r="J12" s="53"/>
      <c r="K12" s="14"/>
      <c r="L12" s="57"/>
      <c r="M12" s="50"/>
      <c r="N12" s="34">
        <f>SUM(Tableau13[[#This Row],[Jan]:[Dec]])</f>
        <v>10000</v>
      </c>
      <c r="O12" s="107" t="s">
        <v>74</v>
      </c>
    </row>
    <row r="13" spans="1:17" ht="49.95" customHeight="1" x14ac:dyDescent="0.25">
      <c r="A13" s="101" t="s">
        <v>75</v>
      </c>
      <c r="B13" s="58"/>
      <c r="C13" s="102"/>
      <c r="D13" s="103"/>
      <c r="E13" s="67"/>
      <c r="F13" s="64"/>
      <c r="G13" s="104"/>
      <c r="H13" s="18"/>
      <c r="I13" s="67"/>
      <c r="J13" s="105"/>
      <c r="K13" s="106"/>
      <c r="L13" s="58"/>
      <c r="M13" s="64"/>
      <c r="N13" s="38"/>
      <c r="O13" s="107" t="s">
        <v>76</v>
      </c>
    </row>
    <row r="14" spans="1:17" ht="49.95" customHeight="1" x14ac:dyDescent="0.25">
      <c r="A14" s="84" t="s">
        <v>77</v>
      </c>
      <c r="B14" s="59"/>
      <c r="C14" s="51"/>
      <c r="D14" s="43"/>
      <c r="E14" s="59"/>
      <c r="F14" s="51"/>
      <c r="G14" s="43"/>
      <c r="H14" s="43"/>
      <c r="I14" s="59"/>
      <c r="J14" s="51"/>
      <c r="K14" s="43"/>
      <c r="L14" s="59"/>
      <c r="M14" s="51"/>
      <c r="N14" s="45">
        <f>SUM(N15:N25)</f>
        <v>30000</v>
      </c>
      <c r="O14" s="90"/>
    </row>
    <row r="15" spans="1:17" ht="49.95" customHeight="1" x14ac:dyDescent="0.25">
      <c r="A15" s="94" t="s">
        <v>78</v>
      </c>
      <c r="B15" s="54"/>
      <c r="C15" s="47"/>
      <c r="D15" s="8" t="s">
        <v>22</v>
      </c>
      <c r="E15" s="56" t="s">
        <v>22</v>
      </c>
      <c r="F15" s="70" t="s">
        <v>22</v>
      </c>
      <c r="G15" s="9"/>
      <c r="H15" s="9"/>
      <c r="I15" s="54"/>
      <c r="J15" s="47"/>
      <c r="K15" s="9"/>
      <c r="L15" s="54"/>
      <c r="M15" s="47"/>
      <c r="N15" s="34"/>
      <c r="O15" s="83" t="s">
        <v>79</v>
      </c>
    </row>
    <row r="16" spans="1:17" ht="49.95" customHeight="1" x14ac:dyDescent="0.25">
      <c r="A16" s="150" t="s">
        <v>80</v>
      </c>
      <c r="B16" s="54"/>
      <c r="C16" s="47"/>
      <c r="D16" s="9"/>
      <c r="E16" s="54"/>
      <c r="F16" s="47"/>
      <c r="G16" s="9"/>
      <c r="H16" s="9"/>
      <c r="I16" s="54"/>
      <c r="J16" s="70" t="s">
        <v>22</v>
      </c>
      <c r="K16" s="8" t="s">
        <v>22</v>
      </c>
      <c r="L16" s="56" t="s">
        <v>22</v>
      </c>
      <c r="M16" s="47"/>
      <c r="N16" s="34"/>
      <c r="O16" s="83" t="s">
        <v>79</v>
      </c>
    </row>
    <row r="17" spans="1:15" ht="49.95" customHeight="1" x14ac:dyDescent="0.25">
      <c r="A17" s="94" t="s">
        <v>81</v>
      </c>
      <c r="B17" s="57"/>
      <c r="C17" s="50"/>
      <c r="D17" s="8"/>
      <c r="E17" s="54"/>
      <c r="F17" s="50"/>
      <c r="G17" s="8"/>
      <c r="H17" s="9"/>
      <c r="I17" s="54"/>
      <c r="J17" s="71"/>
      <c r="K17" s="8"/>
      <c r="L17" s="57"/>
      <c r="M17" s="50"/>
      <c r="N17" s="41"/>
      <c r="O17" s="83" t="s">
        <v>82</v>
      </c>
    </row>
    <row r="18" spans="1:15" ht="49.95" customHeight="1" x14ac:dyDescent="0.25">
      <c r="A18" s="94" t="s">
        <v>83</v>
      </c>
      <c r="B18" s="57"/>
      <c r="C18" s="50"/>
      <c r="D18" s="44"/>
      <c r="E18" s="56"/>
      <c r="F18" s="50"/>
      <c r="G18" s="9"/>
      <c r="H18" s="9"/>
      <c r="I18" s="66"/>
      <c r="J18" s="70"/>
      <c r="K18" s="9"/>
      <c r="L18" s="57"/>
      <c r="M18" s="75"/>
      <c r="N18" s="41"/>
      <c r="O18" s="83" t="s">
        <v>84</v>
      </c>
    </row>
    <row r="19" spans="1:15" ht="49.95" customHeight="1" x14ac:dyDescent="0.25">
      <c r="A19" s="94" t="s">
        <v>85</v>
      </c>
      <c r="B19" s="56" t="s">
        <v>27</v>
      </c>
      <c r="C19" s="70" t="s">
        <v>27</v>
      </c>
      <c r="D19" s="8" t="s">
        <v>27</v>
      </c>
      <c r="E19" s="56" t="s">
        <v>27</v>
      </c>
      <c r="F19" s="70" t="s">
        <v>27</v>
      </c>
      <c r="G19" s="8" t="s">
        <v>27</v>
      </c>
      <c r="H19" s="8" t="s">
        <v>27</v>
      </c>
      <c r="I19" s="56" t="s">
        <v>27</v>
      </c>
      <c r="J19" s="70" t="s">
        <v>27</v>
      </c>
      <c r="K19" s="8" t="s">
        <v>27</v>
      </c>
      <c r="L19" s="56" t="s">
        <v>27</v>
      </c>
      <c r="M19" s="70" t="s">
        <v>27</v>
      </c>
      <c r="N19" s="99"/>
      <c r="O19" s="83" t="s">
        <v>86</v>
      </c>
    </row>
    <row r="20" spans="1:15" ht="49.95" customHeight="1" x14ac:dyDescent="0.25">
      <c r="A20" s="96" t="s">
        <v>87</v>
      </c>
      <c r="B20" s="140"/>
      <c r="C20" s="141"/>
      <c r="D20" s="142"/>
      <c r="E20" s="143"/>
      <c r="F20" s="141"/>
      <c r="G20" s="142"/>
      <c r="H20" s="144"/>
      <c r="I20" s="143"/>
      <c r="J20" s="145"/>
      <c r="K20" s="144"/>
      <c r="L20" s="140"/>
      <c r="M20" s="141"/>
      <c r="N20" s="41"/>
      <c r="O20" s="97" t="s">
        <v>88</v>
      </c>
    </row>
    <row r="21" spans="1:15" ht="49.95" customHeight="1" x14ac:dyDescent="0.25">
      <c r="A21" s="96" t="s">
        <v>89</v>
      </c>
      <c r="B21" s="146"/>
      <c r="C21" s="147"/>
      <c r="D21" s="148"/>
      <c r="E21" s="143"/>
      <c r="F21" s="147"/>
      <c r="G21" s="148"/>
      <c r="H21" s="9"/>
      <c r="I21" s="54"/>
      <c r="J21" s="47"/>
      <c r="K21" s="9"/>
      <c r="L21" s="60"/>
      <c r="M21" s="48"/>
      <c r="N21" s="41"/>
      <c r="O21" s="97" t="s">
        <v>90</v>
      </c>
    </row>
    <row r="22" spans="1:15" ht="49.95" customHeight="1" x14ac:dyDescent="0.25">
      <c r="A22" s="96" t="s">
        <v>91</v>
      </c>
      <c r="B22" s="140"/>
      <c r="C22" s="141"/>
      <c r="D22" s="142"/>
      <c r="E22" s="143"/>
      <c r="F22" s="141"/>
      <c r="G22" s="142"/>
      <c r="H22" s="9"/>
      <c r="I22" s="54"/>
      <c r="J22" s="47"/>
      <c r="K22" s="9"/>
      <c r="L22" s="57"/>
      <c r="M22" s="50"/>
      <c r="N22" s="41"/>
      <c r="O22" s="97" t="s">
        <v>92</v>
      </c>
    </row>
    <row r="23" spans="1:15" ht="49.95" customHeight="1" x14ac:dyDescent="0.25">
      <c r="A23" s="95" t="s">
        <v>93</v>
      </c>
      <c r="B23" s="57"/>
      <c r="C23" s="53"/>
      <c r="D23" s="25">
        <v>3000</v>
      </c>
      <c r="E23" s="65">
        <v>3000</v>
      </c>
      <c r="F23" s="47"/>
      <c r="G23" s="13"/>
      <c r="H23" s="9"/>
      <c r="I23" s="54"/>
      <c r="J23" s="53"/>
      <c r="K23" s="25">
        <v>3000</v>
      </c>
      <c r="L23" s="65">
        <v>3000</v>
      </c>
      <c r="M23" s="50"/>
      <c r="N23" s="34">
        <f>SUM(Tableau13[[#This Row],[Jan]:[Dec]])</f>
        <v>12000</v>
      </c>
      <c r="O23" s="89" t="s">
        <v>94</v>
      </c>
    </row>
    <row r="24" spans="1:15" ht="49.95" customHeight="1" x14ac:dyDescent="0.25">
      <c r="A24" s="95" t="s">
        <v>95</v>
      </c>
      <c r="B24" s="60"/>
      <c r="C24" s="118"/>
      <c r="D24" s="73">
        <v>3000</v>
      </c>
      <c r="E24" s="134"/>
      <c r="F24" s="118"/>
      <c r="G24" s="116"/>
      <c r="H24" s="9"/>
      <c r="I24" s="119"/>
      <c r="J24" s="53"/>
      <c r="K24" s="49">
        <v>3000</v>
      </c>
      <c r="L24" s="120"/>
      <c r="M24" s="53"/>
      <c r="N24" s="34">
        <f>SUM(Tableau13[[#This Row],[Jan]:[Dec]])</f>
        <v>6000</v>
      </c>
      <c r="O24" s="89" t="s">
        <v>96</v>
      </c>
    </row>
    <row r="25" spans="1:15" ht="49.95" customHeight="1" x14ac:dyDescent="0.25">
      <c r="A25" s="95" t="s">
        <v>97</v>
      </c>
      <c r="B25" s="57"/>
      <c r="C25" s="25">
        <v>2000</v>
      </c>
      <c r="D25" s="25">
        <v>2000</v>
      </c>
      <c r="E25" s="65">
        <v>2000</v>
      </c>
      <c r="F25" s="47"/>
      <c r="G25" s="9"/>
      <c r="H25" s="9"/>
      <c r="I25" s="54"/>
      <c r="J25" s="25">
        <v>2000</v>
      </c>
      <c r="K25" s="25">
        <v>2000</v>
      </c>
      <c r="L25" s="65">
        <v>2000</v>
      </c>
      <c r="M25" s="50"/>
      <c r="N25" s="34">
        <f>SUM(Tableau13[[#This Row],[Jan]:[Dec]])</f>
        <v>12000</v>
      </c>
      <c r="O25" s="89" t="s">
        <v>98</v>
      </c>
    </row>
    <row r="26" spans="1:15" ht="49.95" customHeight="1" x14ac:dyDescent="0.25">
      <c r="A26" s="95" t="s">
        <v>99</v>
      </c>
      <c r="B26" s="57"/>
      <c r="C26" s="49">
        <v>2000</v>
      </c>
      <c r="D26" s="25">
        <v>2000</v>
      </c>
      <c r="E26" s="65">
        <v>2000</v>
      </c>
      <c r="F26" s="47"/>
      <c r="G26" s="9"/>
      <c r="H26" s="9"/>
      <c r="I26" s="54"/>
      <c r="J26" s="49">
        <v>2000</v>
      </c>
      <c r="K26" s="25">
        <v>2000</v>
      </c>
      <c r="L26" s="65">
        <v>2000</v>
      </c>
      <c r="M26" s="50"/>
      <c r="N26" s="34">
        <f>SUM(Tableau13[[#This Row],[Jan]:[Dec]])</f>
        <v>12000</v>
      </c>
      <c r="O26" s="89" t="s">
        <v>100</v>
      </c>
    </row>
    <row r="27" spans="1:15" ht="49.95" customHeight="1" x14ac:dyDescent="0.25">
      <c r="A27" s="100" t="s">
        <v>101</v>
      </c>
      <c r="B27" s="57"/>
      <c r="C27" s="47"/>
      <c r="D27" s="9"/>
      <c r="E27" s="68"/>
      <c r="F27" s="47"/>
      <c r="G27" s="9"/>
      <c r="H27" s="117"/>
      <c r="I27" s="119"/>
      <c r="J27" s="113" t="s">
        <v>38</v>
      </c>
      <c r="K27" s="124"/>
      <c r="L27" s="54"/>
      <c r="M27" s="50"/>
      <c r="N27" s="34"/>
      <c r="O27" s="107" t="s">
        <v>102</v>
      </c>
    </row>
    <row r="28" spans="1:15" ht="49.95" customHeight="1" x14ac:dyDescent="0.25">
      <c r="A28" s="84" t="s">
        <v>103</v>
      </c>
      <c r="B28" s="59"/>
      <c r="C28" s="121"/>
      <c r="D28" s="122"/>
      <c r="E28" s="123"/>
      <c r="F28" s="121"/>
      <c r="G28" s="122"/>
      <c r="H28" s="122"/>
      <c r="I28" s="123"/>
      <c r="J28" s="121"/>
      <c r="K28" s="122"/>
      <c r="L28" s="123"/>
      <c r="M28" s="51"/>
      <c r="N28" s="45">
        <f>SUM(N29:N32)</f>
        <v>6000</v>
      </c>
      <c r="O28" s="90"/>
    </row>
    <row r="29" spans="1:15" ht="49.95" customHeight="1" x14ac:dyDescent="0.25">
      <c r="A29" s="96" t="s">
        <v>104</v>
      </c>
      <c r="B29" s="140"/>
      <c r="C29" s="145"/>
      <c r="D29" s="144"/>
      <c r="E29" s="143"/>
      <c r="F29" s="145"/>
      <c r="G29" s="144"/>
      <c r="H29" s="144"/>
      <c r="I29" s="143"/>
      <c r="J29" s="145"/>
      <c r="K29" s="144"/>
      <c r="L29" s="143"/>
      <c r="M29" s="141"/>
      <c r="N29" s="41"/>
      <c r="O29" s="97" t="s">
        <v>105</v>
      </c>
    </row>
    <row r="30" spans="1:15" ht="49.95" customHeight="1" x14ac:dyDescent="0.25">
      <c r="A30" s="96" t="s">
        <v>106</v>
      </c>
      <c r="B30" s="140"/>
      <c r="C30" s="145"/>
      <c r="D30" s="144"/>
      <c r="E30" s="143"/>
      <c r="F30" s="145"/>
      <c r="G30" s="144"/>
      <c r="H30" s="144"/>
      <c r="I30" s="143"/>
      <c r="J30" s="145"/>
      <c r="K30" s="144"/>
      <c r="L30" s="143"/>
      <c r="M30" s="141"/>
      <c r="N30" s="41"/>
      <c r="O30" s="97" t="s">
        <v>107</v>
      </c>
    </row>
    <row r="31" spans="1:15" ht="49.95" customHeight="1" x14ac:dyDescent="0.25">
      <c r="A31" s="95" t="s">
        <v>108</v>
      </c>
      <c r="B31" s="57"/>
      <c r="C31" s="53"/>
      <c r="D31" s="12"/>
      <c r="E31" s="65">
        <v>3000</v>
      </c>
      <c r="F31" s="47"/>
      <c r="G31" s="13"/>
      <c r="H31" s="9"/>
      <c r="I31" s="54"/>
      <c r="J31" s="14"/>
      <c r="K31" s="13"/>
      <c r="L31" s="65">
        <v>3000</v>
      </c>
      <c r="M31" s="50"/>
      <c r="N31" s="34">
        <f>SUM(Tableau13[[#This Row],[Jan]:[Dec]])</f>
        <v>6000</v>
      </c>
      <c r="O31" s="89" t="s">
        <v>109</v>
      </c>
    </row>
    <row r="32" spans="1:15" ht="49.95" customHeight="1" x14ac:dyDescent="0.25">
      <c r="A32" s="100" t="s">
        <v>110</v>
      </c>
      <c r="B32" s="125"/>
      <c r="C32" s="126"/>
      <c r="D32" s="127"/>
      <c r="E32" s="128"/>
      <c r="F32" s="126"/>
      <c r="G32" s="127"/>
      <c r="H32" s="129"/>
      <c r="I32" s="130"/>
      <c r="J32" s="131"/>
      <c r="K32" s="132"/>
      <c r="L32" s="133"/>
      <c r="M32" s="50"/>
      <c r="N32" s="34"/>
      <c r="O32" s="107" t="s">
        <v>111</v>
      </c>
    </row>
    <row r="33" spans="1:15" ht="49.95" customHeight="1" x14ac:dyDescent="0.25">
      <c r="A33" s="29" t="s">
        <v>13</v>
      </c>
      <c r="B33" s="61"/>
      <c r="C33" s="52"/>
      <c r="D33" s="30"/>
      <c r="E33" s="69"/>
      <c r="F33" s="52"/>
      <c r="G33" s="30"/>
      <c r="H33" s="31"/>
      <c r="I33" s="69"/>
      <c r="J33" s="72"/>
      <c r="K33" s="31"/>
      <c r="L33" s="61"/>
      <c r="M33" s="52"/>
      <c r="N33" s="39">
        <f>SUM(N2,N14,N28)</f>
        <v>99000</v>
      </c>
      <c r="O33" s="91"/>
    </row>
    <row r="35" spans="1:15" x14ac:dyDescent="0.25">
      <c r="A35" s="76"/>
    </row>
    <row r="36" spans="1:15" x14ac:dyDescent="0.25">
      <c r="A36" s="77"/>
    </row>
    <row r="37" spans="1:15" x14ac:dyDescent="0.25">
      <c r="A37" s="78"/>
    </row>
    <row r="38" spans="1:15" x14ac:dyDescent="0.25">
      <c r="A38" s="78"/>
      <c r="E38" t="s">
        <v>44</v>
      </c>
    </row>
    <row r="39" spans="1:15" x14ac:dyDescent="0.25">
      <c r="A39" s="79"/>
    </row>
    <row r="40" spans="1:15" x14ac:dyDescent="0.25">
      <c r="A40" s="80"/>
    </row>
    <row r="41" spans="1:15" x14ac:dyDescent="0.25">
      <c r="A41" s="78"/>
    </row>
    <row r="42" spans="1:15" x14ac:dyDescent="0.25">
      <c r="A42" s="78"/>
    </row>
    <row r="43" spans="1:15" x14ac:dyDescent="0.25">
      <c r="A43" s="81"/>
    </row>
    <row r="44" spans="1:15" x14ac:dyDescent="0.25">
      <c r="A44" s="82"/>
    </row>
    <row r="51" spans="5:5" x14ac:dyDescent="0.25">
      <c r="E51" t="s">
        <v>44</v>
      </c>
    </row>
  </sheetData>
  <phoneticPr fontId="14" type="noConversion"/>
  <pageMargins left="0.7" right="0.7" top="0.75" bottom="0.75" header="0.3" footer="0.3"/>
  <headerFooter>
    <oddFooter>&amp;C_x000D_&amp;1#&amp;"Aptos"&amp;10&amp;K000000 Sensitivity: C2-Restricted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24AD-93A6-4976-8514-BED9A814FD06}">
  <dimension ref="A1:Q51"/>
  <sheetViews>
    <sheetView zoomScale="50" zoomScaleNormal="50" workbookViewId="0">
      <pane ySplit="1" topLeftCell="A20" activePane="bottomLeft" state="frozen"/>
      <selection pane="bottomLeft" activeCell="A19" sqref="A19"/>
    </sheetView>
  </sheetViews>
  <sheetFormatPr baseColWidth="10" defaultColWidth="11" defaultRowHeight="13.8" x14ac:dyDescent="0.25"/>
  <cols>
    <col min="1" max="1" width="77.3984375" customWidth="1"/>
    <col min="2" max="14" width="20.69921875" customWidth="1"/>
    <col min="15" max="15" width="93.5" customWidth="1"/>
    <col min="17" max="17" width="14.69921875" customWidth="1"/>
  </cols>
  <sheetData>
    <row r="1" spans="1:17" ht="49.95" customHeight="1" thickBot="1" x14ac:dyDescent="0.3">
      <c r="A1" s="85" t="s">
        <v>112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  <c r="M1" s="87" t="s">
        <v>12</v>
      </c>
      <c r="N1" s="88" t="s">
        <v>13</v>
      </c>
      <c r="O1" s="92" t="s">
        <v>46</v>
      </c>
      <c r="Q1" s="98"/>
    </row>
    <row r="2" spans="1:17" ht="49.95" customHeight="1" x14ac:dyDescent="0.25">
      <c r="A2" s="84" t="s">
        <v>47</v>
      </c>
      <c r="B2" s="63"/>
      <c r="C2" s="62"/>
      <c r="D2" s="40"/>
      <c r="E2" s="63"/>
      <c r="F2" s="62"/>
      <c r="G2" s="40"/>
      <c r="H2" s="40"/>
      <c r="I2" s="40"/>
      <c r="J2" s="40"/>
      <c r="K2" s="40"/>
      <c r="L2" s="63"/>
      <c r="M2" s="62"/>
      <c r="N2" s="45">
        <f>SUM(N3:N13)</f>
        <v>34000</v>
      </c>
      <c r="O2" s="93"/>
      <c r="Q2" s="111" t="s">
        <v>48</v>
      </c>
    </row>
    <row r="3" spans="1:17" s="1" customFormat="1" ht="49.95" customHeight="1" x14ac:dyDescent="0.25">
      <c r="A3" s="94" t="s">
        <v>49</v>
      </c>
      <c r="B3" s="56" t="s">
        <v>50</v>
      </c>
      <c r="C3" s="46"/>
      <c r="D3" s="42"/>
      <c r="E3" s="55"/>
      <c r="F3" s="46"/>
      <c r="G3" s="42"/>
      <c r="H3" s="42"/>
      <c r="I3" s="55"/>
      <c r="J3" s="46"/>
      <c r="K3" s="8" t="s">
        <v>17</v>
      </c>
      <c r="L3" s="56" t="s">
        <v>18</v>
      </c>
      <c r="M3" s="70" t="s">
        <v>50</v>
      </c>
      <c r="N3" s="34"/>
      <c r="O3" s="83" t="s">
        <v>51</v>
      </c>
      <c r="Q3" s="149" t="s">
        <v>52</v>
      </c>
    </row>
    <row r="4" spans="1:17" s="1" customFormat="1" ht="49.95" customHeight="1" x14ac:dyDescent="0.25">
      <c r="A4" s="94" t="s">
        <v>53</v>
      </c>
      <c r="B4" s="54"/>
      <c r="C4" s="114" t="s">
        <v>22</v>
      </c>
      <c r="D4" s="47"/>
      <c r="E4" s="56" t="s">
        <v>22</v>
      </c>
      <c r="F4" s="47"/>
      <c r="G4" s="8" t="s">
        <v>22</v>
      </c>
      <c r="H4" s="9"/>
      <c r="I4" s="56" t="s">
        <v>22</v>
      </c>
      <c r="J4" s="70" t="s">
        <v>22</v>
      </c>
      <c r="K4" s="9"/>
      <c r="L4" s="54"/>
      <c r="M4" s="47"/>
      <c r="N4" s="34"/>
      <c r="O4" s="83" t="s">
        <v>54</v>
      </c>
      <c r="Q4" s="115" t="s">
        <v>55</v>
      </c>
    </row>
    <row r="5" spans="1:17" s="1" customFormat="1" ht="49.95" customHeight="1" x14ac:dyDescent="0.25">
      <c r="A5" s="94" t="s">
        <v>56</v>
      </c>
      <c r="B5" s="56" t="s">
        <v>57</v>
      </c>
      <c r="C5" s="47"/>
      <c r="D5" s="12"/>
      <c r="E5" s="54"/>
      <c r="F5" s="47"/>
      <c r="G5" s="8" t="s">
        <v>27</v>
      </c>
      <c r="H5" s="9"/>
      <c r="I5" s="54"/>
      <c r="J5" s="70" t="s">
        <v>27</v>
      </c>
      <c r="K5" s="9"/>
      <c r="L5" s="54"/>
      <c r="M5" s="135" t="s">
        <v>58</v>
      </c>
      <c r="N5" s="74"/>
      <c r="O5" s="110" t="s">
        <v>59</v>
      </c>
      <c r="Q5" s="108" t="s">
        <v>60</v>
      </c>
    </row>
    <row r="6" spans="1:17" s="1" customFormat="1" ht="49.95" customHeight="1" x14ac:dyDescent="0.25">
      <c r="A6" s="96" t="s">
        <v>61</v>
      </c>
      <c r="B6" s="140"/>
      <c r="C6" s="141"/>
      <c r="D6" s="142"/>
      <c r="E6" s="143"/>
      <c r="F6" s="141"/>
      <c r="G6" s="142"/>
      <c r="H6" s="144"/>
      <c r="I6" s="143"/>
      <c r="J6" s="145"/>
      <c r="K6" s="144"/>
      <c r="L6" s="140"/>
      <c r="M6" s="141"/>
      <c r="N6" s="34"/>
      <c r="O6" s="83" t="s">
        <v>62</v>
      </c>
      <c r="Q6" s="112" t="s">
        <v>63</v>
      </c>
    </row>
    <row r="7" spans="1:17" ht="49.95" customHeight="1" x14ac:dyDescent="0.25">
      <c r="A7" s="96" t="s">
        <v>64</v>
      </c>
      <c r="B7" s="143"/>
      <c r="C7" s="145"/>
      <c r="D7" s="144"/>
      <c r="E7" s="143"/>
      <c r="F7" s="145"/>
      <c r="G7" s="144"/>
      <c r="H7" s="144"/>
      <c r="I7" s="143"/>
      <c r="J7" s="145"/>
      <c r="K7" s="144"/>
      <c r="L7" s="143"/>
      <c r="M7" s="145"/>
      <c r="N7" s="34"/>
      <c r="O7" s="97" t="s">
        <v>65</v>
      </c>
    </row>
    <row r="8" spans="1:17" ht="49.95" customHeight="1" x14ac:dyDescent="0.25">
      <c r="A8" s="95" t="s">
        <v>66</v>
      </c>
      <c r="B8" s="57"/>
      <c r="C8" s="53"/>
      <c r="D8" s="25">
        <v>3000</v>
      </c>
      <c r="E8" s="65">
        <v>3000</v>
      </c>
      <c r="F8" s="50"/>
      <c r="G8" s="10"/>
      <c r="H8" s="10"/>
      <c r="I8" s="57"/>
      <c r="J8" s="136">
        <v>3000</v>
      </c>
      <c r="K8" s="49">
        <v>3000</v>
      </c>
      <c r="L8" s="68"/>
      <c r="M8" s="50"/>
      <c r="N8" s="34">
        <f>SUM(Tableau134[[#This Row],[Jan]:[Dec]])</f>
        <v>12000</v>
      </c>
      <c r="O8" s="89" t="s">
        <v>67</v>
      </c>
    </row>
    <row r="9" spans="1:17" ht="49.95" customHeight="1" x14ac:dyDescent="0.25">
      <c r="A9" s="95" t="s">
        <v>68</v>
      </c>
      <c r="B9" s="57"/>
      <c r="C9" s="53"/>
      <c r="D9" s="13"/>
      <c r="E9" s="68"/>
      <c r="F9" s="50"/>
      <c r="G9" s="10"/>
      <c r="H9" s="10"/>
      <c r="I9" s="57"/>
      <c r="J9" s="53"/>
      <c r="K9" s="13"/>
      <c r="L9" s="68"/>
      <c r="M9" s="50"/>
      <c r="N9" s="34">
        <f>SUM(Tableau134[[#This Row],[Jan]:[Dec]])</f>
        <v>0</v>
      </c>
      <c r="O9" s="89" t="s">
        <v>69</v>
      </c>
    </row>
    <row r="10" spans="1:17" ht="49.95" customHeight="1" x14ac:dyDescent="0.25">
      <c r="A10" s="95" t="s">
        <v>31</v>
      </c>
      <c r="B10" s="57"/>
      <c r="C10" s="50"/>
      <c r="D10" s="25">
        <v>10000</v>
      </c>
      <c r="E10" s="57"/>
      <c r="F10" s="50"/>
      <c r="G10" s="13"/>
      <c r="H10" s="10"/>
      <c r="I10" s="57"/>
      <c r="J10" s="49">
        <v>10000</v>
      </c>
      <c r="K10" s="10"/>
      <c r="L10" s="57"/>
      <c r="M10" s="50"/>
      <c r="N10" s="34">
        <f>SUM(Tableau134[[#This Row],[Jan]:[Dec]])</f>
        <v>20000</v>
      </c>
      <c r="O10" s="89" t="s">
        <v>70</v>
      </c>
    </row>
    <row r="11" spans="1:17" ht="49.95" customHeight="1" x14ac:dyDescent="0.25">
      <c r="A11" s="95" t="s">
        <v>71</v>
      </c>
      <c r="B11" s="57"/>
      <c r="C11" s="50"/>
      <c r="D11" s="12"/>
      <c r="E11" s="65">
        <v>1000</v>
      </c>
      <c r="F11" s="47"/>
      <c r="G11" s="116"/>
      <c r="H11" s="13"/>
      <c r="I11" s="54"/>
      <c r="J11" s="117"/>
      <c r="K11" s="49">
        <v>1000</v>
      </c>
      <c r="L11" s="57"/>
      <c r="M11" s="50"/>
      <c r="N11" s="34">
        <f>SUM(Tableau134[[#This Row],[Jan]:[Dec]])</f>
        <v>2000</v>
      </c>
      <c r="O11" s="89" t="s">
        <v>72</v>
      </c>
    </row>
    <row r="12" spans="1:17" ht="49.95" customHeight="1" x14ac:dyDescent="0.25">
      <c r="A12" s="100" t="s">
        <v>73</v>
      </c>
      <c r="B12" s="57"/>
      <c r="C12" s="50"/>
      <c r="D12" s="10"/>
      <c r="E12" s="68"/>
      <c r="F12" s="50"/>
      <c r="G12" s="10"/>
      <c r="H12" s="14"/>
      <c r="I12" s="66"/>
      <c r="J12" s="53"/>
      <c r="K12" s="14"/>
      <c r="L12" s="57"/>
      <c r="M12" s="50"/>
      <c r="N12" s="34">
        <f>SUM(Tableau134[[#This Row],[Jan]:[Dec]])</f>
        <v>0</v>
      </c>
      <c r="O12" s="107" t="s">
        <v>74</v>
      </c>
    </row>
    <row r="13" spans="1:17" ht="49.95" customHeight="1" x14ac:dyDescent="0.25">
      <c r="A13" s="101" t="s">
        <v>75</v>
      </c>
      <c r="B13" s="58"/>
      <c r="C13" s="102"/>
      <c r="D13" s="103"/>
      <c r="E13" s="67"/>
      <c r="F13" s="64"/>
      <c r="G13" s="104"/>
      <c r="H13" s="18"/>
      <c r="I13" s="67"/>
      <c r="J13" s="105"/>
      <c r="K13" s="106"/>
      <c r="L13" s="58"/>
      <c r="M13" s="64"/>
      <c r="N13" s="38"/>
      <c r="O13" s="107" t="s">
        <v>76</v>
      </c>
    </row>
    <row r="14" spans="1:17" ht="49.95" customHeight="1" x14ac:dyDescent="0.25">
      <c r="A14" s="84" t="s">
        <v>77</v>
      </c>
      <c r="B14" s="59"/>
      <c r="C14" s="51"/>
      <c r="D14" s="43"/>
      <c r="E14" s="59"/>
      <c r="F14" s="51"/>
      <c r="G14" s="43"/>
      <c r="H14" s="43"/>
      <c r="I14" s="59"/>
      <c r="J14" s="51"/>
      <c r="K14" s="43"/>
      <c r="L14" s="59"/>
      <c r="M14" s="51"/>
      <c r="N14" s="45">
        <f>SUM(N15:N25)</f>
        <v>26000</v>
      </c>
      <c r="O14" s="90"/>
    </row>
    <row r="15" spans="1:17" ht="49.95" customHeight="1" x14ac:dyDescent="0.25">
      <c r="A15" s="94" t="s">
        <v>78</v>
      </c>
      <c r="B15" s="54"/>
      <c r="C15" s="47"/>
      <c r="D15" s="8" t="s">
        <v>22</v>
      </c>
      <c r="E15" s="56" t="s">
        <v>22</v>
      </c>
      <c r="F15" s="70" t="s">
        <v>22</v>
      </c>
      <c r="G15" s="9"/>
      <c r="H15" s="9"/>
      <c r="I15" s="54"/>
      <c r="J15" s="47"/>
      <c r="K15" s="9"/>
      <c r="L15" s="54"/>
      <c r="M15" s="47"/>
      <c r="N15" s="34"/>
      <c r="O15" s="83" t="s">
        <v>79</v>
      </c>
    </row>
    <row r="16" spans="1:17" ht="49.95" customHeight="1" x14ac:dyDescent="0.25">
      <c r="A16" s="94" t="s">
        <v>113</v>
      </c>
      <c r="B16" s="54"/>
      <c r="C16" s="47"/>
      <c r="D16" s="9"/>
      <c r="E16" s="54"/>
      <c r="F16" s="47"/>
      <c r="G16" s="9"/>
      <c r="H16" s="9"/>
      <c r="I16" s="54"/>
      <c r="J16" s="70" t="s">
        <v>22</v>
      </c>
      <c r="K16" s="8" t="s">
        <v>22</v>
      </c>
      <c r="L16" s="56" t="s">
        <v>22</v>
      </c>
      <c r="M16" s="47"/>
      <c r="N16" s="34"/>
      <c r="O16" s="83" t="s">
        <v>79</v>
      </c>
    </row>
    <row r="17" spans="1:15" ht="49.95" customHeight="1" x14ac:dyDescent="0.25">
      <c r="A17" s="94" t="s">
        <v>81</v>
      </c>
      <c r="B17" s="57"/>
      <c r="C17" s="50"/>
      <c r="D17" s="8"/>
      <c r="E17" s="54"/>
      <c r="F17" s="50"/>
      <c r="G17" s="8"/>
      <c r="H17" s="9"/>
      <c r="I17" s="54"/>
      <c r="J17" s="71"/>
      <c r="K17" s="8"/>
      <c r="L17" s="57"/>
      <c r="M17" s="50"/>
      <c r="N17" s="41"/>
      <c r="O17" s="83" t="s">
        <v>82</v>
      </c>
    </row>
    <row r="18" spans="1:15" ht="49.95" customHeight="1" x14ac:dyDescent="0.25">
      <c r="A18" s="94" t="s">
        <v>83</v>
      </c>
      <c r="B18" s="57"/>
      <c r="C18" s="50"/>
      <c r="D18" s="44"/>
      <c r="E18" s="56"/>
      <c r="F18" s="50"/>
      <c r="G18" s="9"/>
      <c r="H18" s="9"/>
      <c r="I18" s="66"/>
      <c r="J18" s="70"/>
      <c r="K18" s="9"/>
      <c r="L18" s="57"/>
      <c r="M18" s="75"/>
      <c r="N18" s="41"/>
      <c r="O18" s="83" t="s">
        <v>84</v>
      </c>
    </row>
    <row r="19" spans="1:15" ht="49.95" customHeight="1" x14ac:dyDescent="0.25">
      <c r="A19" s="94" t="s">
        <v>85</v>
      </c>
      <c r="B19" s="56" t="s">
        <v>27</v>
      </c>
      <c r="C19" s="70" t="s">
        <v>27</v>
      </c>
      <c r="D19" s="8" t="s">
        <v>27</v>
      </c>
      <c r="E19" s="56" t="s">
        <v>27</v>
      </c>
      <c r="F19" s="70" t="s">
        <v>27</v>
      </c>
      <c r="G19" s="8" t="s">
        <v>27</v>
      </c>
      <c r="H19" s="8" t="s">
        <v>27</v>
      </c>
      <c r="I19" s="56" t="s">
        <v>27</v>
      </c>
      <c r="J19" s="70" t="s">
        <v>27</v>
      </c>
      <c r="K19" s="8" t="s">
        <v>27</v>
      </c>
      <c r="L19" s="56" t="s">
        <v>27</v>
      </c>
      <c r="M19" s="70" t="s">
        <v>27</v>
      </c>
      <c r="N19" s="99"/>
      <c r="O19" s="83" t="s">
        <v>86</v>
      </c>
    </row>
    <row r="20" spans="1:15" ht="49.95" customHeight="1" x14ac:dyDescent="0.25">
      <c r="A20" s="96" t="s">
        <v>87</v>
      </c>
      <c r="B20" s="140"/>
      <c r="C20" s="141"/>
      <c r="D20" s="142"/>
      <c r="E20" s="143"/>
      <c r="F20" s="141"/>
      <c r="G20" s="142"/>
      <c r="H20" s="144"/>
      <c r="I20" s="143"/>
      <c r="J20" s="145"/>
      <c r="K20" s="144"/>
      <c r="L20" s="140"/>
      <c r="M20" s="141"/>
      <c r="N20" s="41"/>
      <c r="O20" s="97" t="s">
        <v>88</v>
      </c>
    </row>
    <row r="21" spans="1:15" ht="49.95" customHeight="1" x14ac:dyDescent="0.25">
      <c r="A21" s="96" t="s">
        <v>89</v>
      </c>
      <c r="B21" s="146"/>
      <c r="C21" s="147"/>
      <c r="D21" s="148"/>
      <c r="E21" s="143"/>
      <c r="F21" s="147"/>
      <c r="G21" s="148"/>
      <c r="H21" s="9"/>
      <c r="I21" s="54"/>
      <c r="J21" s="47"/>
      <c r="K21" s="9"/>
      <c r="L21" s="60"/>
      <c r="M21" s="48"/>
      <c r="N21" s="41"/>
      <c r="O21" s="97" t="s">
        <v>90</v>
      </c>
    </row>
    <row r="22" spans="1:15" ht="49.95" customHeight="1" x14ac:dyDescent="0.25">
      <c r="A22" s="96" t="s">
        <v>91</v>
      </c>
      <c r="B22" s="140"/>
      <c r="C22" s="141"/>
      <c r="D22" s="142"/>
      <c r="E22" s="143"/>
      <c r="F22" s="141"/>
      <c r="G22" s="142"/>
      <c r="H22" s="9"/>
      <c r="I22" s="54"/>
      <c r="J22" s="47"/>
      <c r="K22" s="9"/>
      <c r="L22" s="57"/>
      <c r="M22" s="50"/>
      <c r="N22" s="41"/>
      <c r="O22" s="97" t="s">
        <v>92</v>
      </c>
    </row>
    <row r="23" spans="1:15" ht="49.95" customHeight="1" x14ac:dyDescent="0.25">
      <c r="A23" s="95" t="s">
        <v>93</v>
      </c>
      <c r="B23" s="57"/>
      <c r="C23" s="53"/>
      <c r="D23" s="73">
        <v>3000</v>
      </c>
      <c r="E23" s="137">
        <v>3000</v>
      </c>
      <c r="F23" s="47"/>
      <c r="G23" s="13"/>
      <c r="H23" s="9"/>
      <c r="I23" s="54"/>
      <c r="J23" s="25">
        <v>3000</v>
      </c>
      <c r="K23" s="73">
        <v>3000</v>
      </c>
      <c r="L23" s="138"/>
      <c r="M23" s="50"/>
      <c r="N23" s="34">
        <f>SUM(Tableau134[[#This Row],[Jan]:[Dec]])</f>
        <v>12000</v>
      </c>
      <c r="O23" s="89" t="s">
        <v>94</v>
      </c>
    </row>
    <row r="24" spans="1:15" ht="49.95" customHeight="1" x14ac:dyDescent="0.25">
      <c r="A24" s="95" t="s">
        <v>95</v>
      </c>
      <c r="B24" s="60"/>
      <c r="C24" s="118"/>
      <c r="D24" s="73">
        <v>3000</v>
      </c>
      <c r="E24" s="134"/>
      <c r="F24" s="118"/>
      <c r="G24" s="116"/>
      <c r="H24" s="9"/>
      <c r="I24" s="119"/>
      <c r="J24" s="53"/>
      <c r="K24" s="49">
        <v>3000</v>
      </c>
      <c r="L24" s="120"/>
      <c r="M24" s="53"/>
      <c r="N24" s="34">
        <f>SUM(Tableau134[[#This Row],[Jan]:[Dec]])</f>
        <v>6000</v>
      </c>
      <c r="O24" s="89" t="s">
        <v>96</v>
      </c>
    </row>
    <row r="25" spans="1:15" ht="49.95" customHeight="1" x14ac:dyDescent="0.25">
      <c r="A25" s="95" t="s">
        <v>97</v>
      </c>
      <c r="B25" s="57"/>
      <c r="C25" s="25">
        <v>2000</v>
      </c>
      <c r="D25" s="25">
        <v>2000</v>
      </c>
      <c r="E25" s="68"/>
      <c r="F25" s="47"/>
      <c r="G25" s="9"/>
      <c r="H25" s="9"/>
      <c r="I25" s="54"/>
      <c r="J25" s="13"/>
      <c r="K25" s="25">
        <v>2000</v>
      </c>
      <c r="L25" s="65">
        <v>2000</v>
      </c>
      <c r="M25" s="50"/>
      <c r="N25" s="34">
        <f>SUM(Tableau134[[#This Row],[Jan]:[Dec]])</f>
        <v>8000</v>
      </c>
      <c r="O25" s="89" t="s">
        <v>98</v>
      </c>
    </row>
    <row r="26" spans="1:15" ht="49.95" customHeight="1" x14ac:dyDescent="0.25">
      <c r="A26" s="95" t="s">
        <v>99</v>
      </c>
      <c r="B26" s="57"/>
      <c r="C26" s="49">
        <v>2000</v>
      </c>
      <c r="D26" s="25">
        <v>2000</v>
      </c>
      <c r="E26" s="65">
        <v>2000</v>
      </c>
      <c r="F26" s="47"/>
      <c r="G26" s="9"/>
      <c r="H26" s="9"/>
      <c r="I26" s="54"/>
      <c r="J26" s="49">
        <v>2000</v>
      </c>
      <c r="K26" s="25">
        <v>2000</v>
      </c>
      <c r="L26" s="65">
        <v>2000</v>
      </c>
      <c r="M26" s="50"/>
      <c r="N26" s="34">
        <f>SUM(Tableau134[[#This Row],[Jan]:[Dec]])</f>
        <v>12000</v>
      </c>
      <c r="O26" s="89" t="s">
        <v>100</v>
      </c>
    </row>
    <row r="27" spans="1:15" ht="49.95" customHeight="1" x14ac:dyDescent="0.25">
      <c r="A27" s="100" t="s">
        <v>101</v>
      </c>
      <c r="B27" s="57"/>
      <c r="C27" s="47"/>
      <c r="D27" s="9"/>
      <c r="E27" s="68"/>
      <c r="F27" s="47"/>
      <c r="G27" s="9"/>
      <c r="H27" s="117"/>
      <c r="I27" s="119"/>
      <c r="J27" s="113" t="s">
        <v>38</v>
      </c>
      <c r="K27" s="124"/>
      <c r="L27" s="54"/>
      <c r="M27" s="50"/>
      <c r="N27" s="34"/>
      <c r="O27" s="107" t="s">
        <v>102</v>
      </c>
    </row>
    <row r="28" spans="1:15" ht="49.95" customHeight="1" x14ac:dyDescent="0.25">
      <c r="A28" s="84" t="s">
        <v>103</v>
      </c>
      <c r="B28" s="59"/>
      <c r="C28" s="121"/>
      <c r="D28" s="122"/>
      <c r="E28" s="123"/>
      <c r="F28" s="121"/>
      <c r="G28" s="122"/>
      <c r="H28" s="122"/>
      <c r="I28" s="123"/>
      <c r="J28" s="121"/>
      <c r="K28" s="122"/>
      <c r="L28" s="123"/>
      <c r="M28" s="51"/>
      <c r="N28" s="45">
        <f>SUM(N29:N32)</f>
        <v>0</v>
      </c>
      <c r="O28" s="90"/>
    </row>
    <row r="29" spans="1:15" ht="49.95" customHeight="1" x14ac:dyDescent="0.25">
      <c r="A29" s="96" t="s">
        <v>104</v>
      </c>
      <c r="B29" s="140"/>
      <c r="C29" s="145"/>
      <c r="D29" s="144"/>
      <c r="E29" s="143"/>
      <c r="F29" s="145"/>
      <c r="G29" s="144"/>
      <c r="H29" s="144"/>
      <c r="I29" s="143"/>
      <c r="J29" s="145"/>
      <c r="K29" s="144"/>
      <c r="L29" s="143"/>
      <c r="M29" s="141"/>
      <c r="N29" s="41"/>
      <c r="O29" s="97" t="s">
        <v>105</v>
      </c>
    </row>
    <row r="30" spans="1:15" ht="49.95" customHeight="1" x14ac:dyDescent="0.25">
      <c r="A30" s="96" t="s">
        <v>106</v>
      </c>
      <c r="B30" s="140"/>
      <c r="C30" s="145"/>
      <c r="D30" s="144"/>
      <c r="E30" s="143"/>
      <c r="F30" s="145"/>
      <c r="G30" s="144"/>
      <c r="H30" s="144"/>
      <c r="I30" s="143"/>
      <c r="J30" s="145"/>
      <c r="K30" s="144"/>
      <c r="L30" s="143"/>
      <c r="M30" s="141"/>
      <c r="N30" s="34"/>
      <c r="O30" s="97" t="s">
        <v>107</v>
      </c>
    </row>
    <row r="31" spans="1:15" ht="49.95" customHeight="1" x14ac:dyDescent="0.25">
      <c r="A31" s="95" t="s">
        <v>108</v>
      </c>
      <c r="B31" s="60"/>
      <c r="C31" s="12"/>
      <c r="D31" s="12"/>
      <c r="E31" s="66"/>
      <c r="F31" s="12"/>
      <c r="G31" s="12"/>
      <c r="H31" s="14"/>
      <c r="I31" s="66"/>
      <c r="J31" s="71"/>
      <c r="K31" s="14"/>
      <c r="L31" s="60"/>
      <c r="M31" s="48"/>
      <c r="N31" s="41"/>
      <c r="O31" s="89" t="s">
        <v>109</v>
      </c>
    </row>
    <row r="32" spans="1:15" ht="49.95" customHeight="1" x14ac:dyDescent="0.25">
      <c r="A32" s="100" t="s">
        <v>110</v>
      </c>
      <c r="B32" s="125"/>
      <c r="C32" s="126"/>
      <c r="D32" s="127"/>
      <c r="E32" s="128"/>
      <c r="F32" s="126"/>
      <c r="G32" s="127"/>
      <c r="H32" s="129"/>
      <c r="I32" s="130"/>
      <c r="J32" s="131"/>
      <c r="K32" s="132"/>
      <c r="L32" s="133"/>
      <c r="M32" s="50"/>
      <c r="N32" s="34"/>
      <c r="O32" s="107" t="s">
        <v>111</v>
      </c>
    </row>
    <row r="33" spans="1:15" ht="49.95" customHeight="1" x14ac:dyDescent="0.25">
      <c r="A33" s="29" t="s">
        <v>13</v>
      </c>
      <c r="B33" s="61"/>
      <c r="C33" s="52"/>
      <c r="D33" s="30"/>
      <c r="E33" s="69"/>
      <c r="F33" s="52"/>
      <c r="G33" s="30"/>
      <c r="H33" s="31"/>
      <c r="I33" s="69"/>
      <c r="J33" s="72"/>
      <c r="K33" s="31"/>
      <c r="L33" s="61"/>
      <c r="M33" s="52"/>
      <c r="N33" s="39">
        <f>SUM(N2,N14,N28)</f>
        <v>60000</v>
      </c>
      <c r="O33" s="91"/>
    </row>
    <row r="35" spans="1:15" x14ac:dyDescent="0.25">
      <c r="A35" s="76"/>
    </row>
    <row r="36" spans="1:15" x14ac:dyDescent="0.25">
      <c r="A36" s="77"/>
    </row>
    <row r="37" spans="1:15" x14ac:dyDescent="0.25">
      <c r="A37" s="78"/>
    </row>
    <row r="38" spans="1:15" x14ac:dyDescent="0.25">
      <c r="A38" s="78"/>
      <c r="E38" t="s">
        <v>44</v>
      </c>
    </row>
    <row r="39" spans="1:15" x14ac:dyDescent="0.25">
      <c r="A39" s="79"/>
    </row>
    <row r="40" spans="1:15" x14ac:dyDescent="0.25">
      <c r="A40" s="80"/>
    </row>
    <row r="41" spans="1:15" x14ac:dyDescent="0.25">
      <c r="A41" s="78"/>
    </row>
    <row r="42" spans="1:15" x14ac:dyDescent="0.25">
      <c r="A42" s="78"/>
    </row>
    <row r="43" spans="1:15" x14ac:dyDescent="0.25">
      <c r="A43" s="81"/>
    </row>
    <row r="44" spans="1:15" x14ac:dyDescent="0.25">
      <c r="A44" s="82"/>
    </row>
    <row r="51" spans="5:5" x14ac:dyDescent="0.25">
      <c r="E51" t="s">
        <v>44</v>
      </c>
    </row>
  </sheetData>
  <pageMargins left="0.7" right="0.7" top="0.75" bottom="0.75" header="0.3" footer="0.3"/>
  <headerFooter>
    <oddFooter>&amp;C_x000D_&amp;1#&amp;"Aptos"&amp;10&amp;K000000 Sensitivity: C2-Restricted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10AB-558E-4DC5-8944-E06C74C05445}">
  <dimension ref="A1:Q51"/>
  <sheetViews>
    <sheetView zoomScale="50" zoomScaleNormal="50" workbookViewId="0">
      <pane ySplit="1" topLeftCell="A2" activePane="bottomLeft" state="frozen"/>
      <selection pane="bottomLeft" activeCell="E6" sqref="E6"/>
    </sheetView>
  </sheetViews>
  <sheetFormatPr baseColWidth="10" defaultColWidth="11" defaultRowHeight="13.8" x14ac:dyDescent="0.25"/>
  <cols>
    <col min="1" max="1" width="77.3984375" customWidth="1"/>
    <col min="2" max="14" width="20.69921875" customWidth="1"/>
    <col min="15" max="15" width="93.5" customWidth="1"/>
    <col min="17" max="17" width="14.69921875" customWidth="1"/>
  </cols>
  <sheetData>
    <row r="1" spans="1:17" ht="49.95" customHeight="1" thickBot="1" x14ac:dyDescent="0.3">
      <c r="A1" s="85" t="s">
        <v>114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  <c r="M1" s="87" t="s">
        <v>12</v>
      </c>
      <c r="N1" s="88" t="s">
        <v>13</v>
      </c>
      <c r="O1" s="92" t="s">
        <v>46</v>
      </c>
      <c r="Q1" s="98"/>
    </row>
    <row r="2" spans="1:17" ht="49.95" customHeight="1" x14ac:dyDescent="0.25">
      <c r="A2" s="84" t="s">
        <v>47</v>
      </c>
      <c r="B2" s="63"/>
      <c r="C2" s="62"/>
      <c r="D2" s="40"/>
      <c r="E2" s="63"/>
      <c r="F2" s="62"/>
      <c r="G2" s="40"/>
      <c r="H2" s="40"/>
      <c r="I2" s="40"/>
      <c r="J2" s="40"/>
      <c r="K2" s="40"/>
      <c r="L2" s="63"/>
      <c r="M2" s="62"/>
      <c r="N2" s="45">
        <f>SUM(N3:N13)</f>
        <v>18000</v>
      </c>
      <c r="O2" s="93"/>
      <c r="Q2" s="111" t="s">
        <v>48</v>
      </c>
    </row>
    <row r="3" spans="1:17" s="1" customFormat="1" ht="49.95" customHeight="1" x14ac:dyDescent="0.25">
      <c r="A3" s="94" t="s">
        <v>49</v>
      </c>
      <c r="B3" s="56" t="s">
        <v>50</v>
      </c>
      <c r="C3" s="70"/>
      <c r="D3" s="8"/>
      <c r="E3" s="56"/>
      <c r="F3" s="70"/>
      <c r="G3" s="8"/>
      <c r="H3" s="8"/>
      <c r="I3" s="56"/>
      <c r="J3" s="70"/>
      <c r="K3" s="8" t="s">
        <v>17</v>
      </c>
      <c r="L3" s="56" t="s">
        <v>18</v>
      </c>
      <c r="M3" s="70" t="s">
        <v>50</v>
      </c>
      <c r="N3" s="34"/>
      <c r="O3" s="83" t="s">
        <v>51</v>
      </c>
      <c r="Q3" s="149" t="s">
        <v>52</v>
      </c>
    </row>
    <row r="4" spans="1:17" s="1" customFormat="1" ht="49.95" customHeight="1" x14ac:dyDescent="0.25">
      <c r="A4" s="94" t="s">
        <v>53</v>
      </c>
      <c r="B4" s="54"/>
      <c r="C4" s="114" t="s">
        <v>22</v>
      </c>
      <c r="D4" s="47"/>
      <c r="E4" s="56" t="s">
        <v>22</v>
      </c>
      <c r="F4" s="47"/>
      <c r="G4" s="8" t="s">
        <v>22</v>
      </c>
      <c r="H4" s="9"/>
      <c r="I4" s="56" t="s">
        <v>22</v>
      </c>
      <c r="J4" s="70" t="s">
        <v>22</v>
      </c>
      <c r="K4" s="9"/>
      <c r="L4" s="54"/>
      <c r="M4" s="47"/>
      <c r="N4" s="34"/>
      <c r="O4" s="83" t="s">
        <v>54</v>
      </c>
      <c r="Q4" s="115" t="s">
        <v>55</v>
      </c>
    </row>
    <row r="5" spans="1:17" s="1" customFormat="1" ht="49.95" customHeight="1" x14ac:dyDescent="0.25">
      <c r="A5" s="94" t="s">
        <v>56</v>
      </c>
      <c r="B5" s="56" t="s">
        <v>57</v>
      </c>
      <c r="C5" s="47"/>
      <c r="D5" s="12"/>
      <c r="E5" s="54"/>
      <c r="F5" s="47"/>
      <c r="G5" s="8" t="s">
        <v>27</v>
      </c>
      <c r="H5" s="9"/>
      <c r="I5" s="54"/>
      <c r="J5" s="70" t="s">
        <v>27</v>
      </c>
      <c r="K5" s="9"/>
      <c r="L5" s="54"/>
      <c r="M5" s="135" t="s">
        <v>58</v>
      </c>
      <c r="N5" s="74"/>
      <c r="O5" s="110" t="s">
        <v>59</v>
      </c>
      <c r="Q5" s="108" t="s">
        <v>60</v>
      </c>
    </row>
    <row r="6" spans="1:17" s="1" customFormat="1" ht="49.95" customHeight="1" x14ac:dyDescent="0.25">
      <c r="A6" s="96" t="s">
        <v>61</v>
      </c>
      <c r="B6" s="140"/>
      <c r="C6" s="141"/>
      <c r="D6" s="142"/>
      <c r="E6" s="143"/>
      <c r="F6" s="141"/>
      <c r="G6" s="142"/>
      <c r="H6" s="144"/>
      <c r="I6" s="143"/>
      <c r="J6" s="145"/>
      <c r="K6" s="144"/>
      <c r="L6" s="140"/>
      <c r="M6" s="141"/>
      <c r="N6" s="34"/>
      <c r="O6" s="83" t="s">
        <v>62</v>
      </c>
      <c r="Q6" s="112" t="s">
        <v>63</v>
      </c>
    </row>
    <row r="7" spans="1:17" ht="49.95" customHeight="1" x14ac:dyDescent="0.25">
      <c r="A7" s="96" t="s">
        <v>64</v>
      </c>
      <c r="B7" s="143"/>
      <c r="C7" s="145"/>
      <c r="D7" s="144"/>
      <c r="E7" s="143"/>
      <c r="F7" s="145"/>
      <c r="G7" s="144"/>
      <c r="H7" s="144"/>
      <c r="I7" s="143"/>
      <c r="J7" s="145"/>
      <c r="K7" s="144"/>
      <c r="L7" s="143"/>
      <c r="M7" s="145"/>
      <c r="N7" s="34"/>
      <c r="O7" s="97" t="s">
        <v>65</v>
      </c>
    </row>
    <row r="8" spans="1:17" ht="49.95" customHeight="1" x14ac:dyDescent="0.25">
      <c r="A8" s="95" t="s">
        <v>66</v>
      </c>
      <c r="B8" s="57"/>
      <c r="C8" s="53"/>
      <c r="D8" s="25">
        <v>3000</v>
      </c>
      <c r="E8" s="68"/>
      <c r="F8" s="50"/>
      <c r="G8" s="10"/>
      <c r="H8" s="10"/>
      <c r="I8" s="57"/>
      <c r="J8" s="136">
        <v>3000</v>
      </c>
      <c r="K8" s="53"/>
      <c r="L8" s="68"/>
      <c r="M8" s="50"/>
      <c r="N8" s="34">
        <f>SUM(Tableau1345[[#This Row],[Jan]:[Dec]])</f>
        <v>6000</v>
      </c>
      <c r="O8" s="89" t="s">
        <v>67</v>
      </c>
    </row>
    <row r="9" spans="1:17" ht="49.95" customHeight="1" x14ac:dyDescent="0.25">
      <c r="A9" s="95" t="s">
        <v>68</v>
      </c>
      <c r="B9" s="57"/>
      <c r="C9" s="53"/>
      <c r="D9" s="13"/>
      <c r="E9" s="68"/>
      <c r="F9" s="50"/>
      <c r="G9" s="10"/>
      <c r="H9" s="10"/>
      <c r="I9" s="57"/>
      <c r="J9" s="53"/>
      <c r="K9" s="13"/>
      <c r="L9" s="68"/>
      <c r="M9" s="50"/>
      <c r="N9" s="34"/>
      <c r="O9" s="89" t="s">
        <v>69</v>
      </c>
    </row>
    <row r="10" spans="1:17" ht="49.95" customHeight="1" x14ac:dyDescent="0.25">
      <c r="A10" s="95" t="s">
        <v>31</v>
      </c>
      <c r="B10" s="57"/>
      <c r="C10" s="50"/>
      <c r="D10" s="25">
        <v>10000</v>
      </c>
      <c r="E10" s="57"/>
      <c r="F10" s="50"/>
      <c r="G10" s="13"/>
      <c r="H10" s="10"/>
      <c r="I10" s="57"/>
      <c r="J10" s="53"/>
      <c r="K10" s="10"/>
      <c r="L10" s="57"/>
      <c r="M10" s="50"/>
      <c r="N10" s="34">
        <f>SUM(Tableau1345[[#This Row],[Jan]:[Dec]])</f>
        <v>10000</v>
      </c>
      <c r="O10" s="89" t="s">
        <v>70</v>
      </c>
    </row>
    <row r="11" spans="1:17" ht="49.95" customHeight="1" x14ac:dyDescent="0.25">
      <c r="A11" s="95" t="s">
        <v>71</v>
      </c>
      <c r="B11" s="57"/>
      <c r="C11" s="50"/>
      <c r="D11" s="12"/>
      <c r="E11" s="65">
        <v>1000</v>
      </c>
      <c r="F11" s="47"/>
      <c r="G11" s="116"/>
      <c r="H11" s="13"/>
      <c r="I11" s="54"/>
      <c r="J11" s="117"/>
      <c r="K11" s="49">
        <v>1000</v>
      </c>
      <c r="L11" s="57"/>
      <c r="M11" s="50"/>
      <c r="N11" s="34">
        <f>SUM(Tableau1345[[#This Row],[Jan]:[Dec]])</f>
        <v>2000</v>
      </c>
      <c r="O11" s="89" t="s">
        <v>72</v>
      </c>
    </row>
    <row r="12" spans="1:17" ht="49.95" customHeight="1" x14ac:dyDescent="0.25">
      <c r="A12" s="100" t="s">
        <v>73</v>
      </c>
      <c r="B12" s="57"/>
      <c r="C12" s="50"/>
      <c r="D12" s="10"/>
      <c r="E12" s="68"/>
      <c r="F12" s="50"/>
      <c r="G12" s="10"/>
      <c r="H12" s="14"/>
      <c r="I12" s="66"/>
      <c r="J12" s="53"/>
      <c r="K12" s="14"/>
      <c r="L12" s="57"/>
      <c r="M12" s="50"/>
      <c r="N12" s="34"/>
      <c r="O12" s="107" t="s">
        <v>74</v>
      </c>
    </row>
    <row r="13" spans="1:17" ht="49.95" customHeight="1" x14ac:dyDescent="0.25">
      <c r="A13" s="101" t="s">
        <v>75</v>
      </c>
      <c r="B13" s="58"/>
      <c r="C13" s="102"/>
      <c r="D13" s="103"/>
      <c r="E13" s="67"/>
      <c r="F13" s="64"/>
      <c r="G13" s="104"/>
      <c r="H13" s="18"/>
      <c r="I13" s="67"/>
      <c r="J13" s="105"/>
      <c r="K13" s="106"/>
      <c r="L13" s="58"/>
      <c r="M13" s="64"/>
      <c r="N13" s="38"/>
      <c r="O13" s="107" t="s">
        <v>76</v>
      </c>
    </row>
    <row r="14" spans="1:17" ht="49.95" customHeight="1" x14ac:dyDescent="0.25">
      <c r="A14" s="84" t="s">
        <v>77</v>
      </c>
      <c r="B14" s="59"/>
      <c r="C14" s="51"/>
      <c r="D14" s="43"/>
      <c r="E14" s="59"/>
      <c r="F14" s="51"/>
      <c r="G14" s="43"/>
      <c r="H14" s="43"/>
      <c r="I14" s="59"/>
      <c r="J14" s="51"/>
      <c r="K14" s="43"/>
      <c r="L14" s="59"/>
      <c r="M14" s="51"/>
      <c r="N14" s="45">
        <f>SUM(N15:N25)</f>
        <v>12000</v>
      </c>
      <c r="O14" s="90"/>
    </row>
    <row r="15" spans="1:17" ht="49.95" customHeight="1" x14ac:dyDescent="0.25">
      <c r="A15" s="94" t="s">
        <v>78</v>
      </c>
      <c r="B15" s="54"/>
      <c r="C15" s="47"/>
      <c r="D15" s="8" t="s">
        <v>22</v>
      </c>
      <c r="E15" s="56" t="s">
        <v>22</v>
      </c>
      <c r="F15" s="70" t="s">
        <v>22</v>
      </c>
      <c r="G15" s="9"/>
      <c r="H15" s="9"/>
      <c r="I15" s="54"/>
      <c r="J15" s="47"/>
      <c r="K15" s="9"/>
      <c r="L15" s="54"/>
      <c r="M15" s="47"/>
      <c r="N15" s="34"/>
      <c r="O15" s="83" t="s">
        <v>79</v>
      </c>
    </row>
    <row r="16" spans="1:17" ht="49.95" customHeight="1" x14ac:dyDescent="0.25">
      <c r="A16" s="94" t="s">
        <v>113</v>
      </c>
      <c r="B16" s="54"/>
      <c r="C16" s="47"/>
      <c r="D16" s="9"/>
      <c r="E16" s="54"/>
      <c r="F16" s="47"/>
      <c r="G16" s="9"/>
      <c r="H16" s="9"/>
      <c r="I16" s="54"/>
      <c r="J16" s="70" t="s">
        <v>22</v>
      </c>
      <c r="K16" s="8" t="s">
        <v>22</v>
      </c>
      <c r="L16" s="56" t="s">
        <v>22</v>
      </c>
      <c r="M16" s="47"/>
      <c r="N16" s="34"/>
      <c r="O16" s="83" t="s">
        <v>79</v>
      </c>
    </row>
    <row r="17" spans="1:15" ht="49.95" customHeight="1" x14ac:dyDescent="0.25">
      <c r="A17" s="94" t="s">
        <v>81</v>
      </c>
      <c r="B17" s="57"/>
      <c r="C17" s="50"/>
      <c r="D17" s="8"/>
      <c r="E17" s="54"/>
      <c r="F17" s="50"/>
      <c r="G17" s="8"/>
      <c r="H17" s="9"/>
      <c r="I17" s="54"/>
      <c r="J17" s="71"/>
      <c r="K17" s="8"/>
      <c r="L17" s="57"/>
      <c r="M17" s="50"/>
      <c r="N17" s="41"/>
      <c r="O17" s="83" t="s">
        <v>82</v>
      </c>
    </row>
    <row r="18" spans="1:15" ht="49.95" customHeight="1" x14ac:dyDescent="0.25">
      <c r="A18" s="94" t="s">
        <v>83</v>
      </c>
      <c r="B18" s="57"/>
      <c r="C18" s="50"/>
      <c r="D18" s="44"/>
      <c r="E18" s="56"/>
      <c r="F18" s="50"/>
      <c r="G18" s="9"/>
      <c r="H18" s="9"/>
      <c r="I18" s="66"/>
      <c r="J18" s="70"/>
      <c r="K18" s="9"/>
      <c r="L18" s="57"/>
      <c r="M18" s="75"/>
      <c r="N18" s="41"/>
      <c r="O18" s="83" t="s">
        <v>84</v>
      </c>
    </row>
    <row r="19" spans="1:15" ht="49.95" customHeight="1" x14ac:dyDescent="0.25">
      <c r="A19" s="94" t="s">
        <v>85</v>
      </c>
      <c r="B19" s="56" t="s">
        <v>27</v>
      </c>
      <c r="C19" s="70" t="s">
        <v>27</v>
      </c>
      <c r="D19" s="8" t="s">
        <v>27</v>
      </c>
      <c r="E19" s="56" t="s">
        <v>27</v>
      </c>
      <c r="F19" s="70" t="s">
        <v>27</v>
      </c>
      <c r="G19" s="8" t="s">
        <v>27</v>
      </c>
      <c r="H19" s="8" t="s">
        <v>27</v>
      </c>
      <c r="I19" s="56" t="s">
        <v>27</v>
      </c>
      <c r="J19" s="70" t="s">
        <v>27</v>
      </c>
      <c r="K19" s="8" t="s">
        <v>27</v>
      </c>
      <c r="L19" s="56" t="s">
        <v>27</v>
      </c>
      <c r="M19" s="70" t="s">
        <v>27</v>
      </c>
      <c r="N19" s="99"/>
      <c r="O19" s="83" t="s">
        <v>86</v>
      </c>
    </row>
    <row r="20" spans="1:15" ht="49.95" customHeight="1" x14ac:dyDescent="0.25">
      <c r="A20" s="96" t="s">
        <v>87</v>
      </c>
      <c r="B20" s="140"/>
      <c r="C20" s="141"/>
      <c r="D20" s="142"/>
      <c r="E20" s="143"/>
      <c r="F20" s="141"/>
      <c r="G20" s="142"/>
      <c r="H20" s="144"/>
      <c r="I20" s="143"/>
      <c r="J20" s="145"/>
      <c r="K20" s="144"/>
      <c r="L20" s="140"/>
      <c r="M20" s="141"/>
      <c r="N20" s="41"/>
      <c r="O20" s="97" t="s">
        <v>88</v>
      </c>
    </row>
    <row r="21" spans="1:15" ht="49.95" customHeight="1" x14ac:dyDescent="0.25">
      <c r="A21" s="96" t="s">
        <v>89</v>
      </c>
      <c r="B21" s="146"/>
      <c r="C21" s="147"/>
      <c r="D21" s="148"/>
      <c r="E21" s="143"/>
      <c r="F21" s="147"/>
      <c r="G21" s="148"/>
      <c r="H21" s="9"/>
      <c r="I21" s="54"/>
      <c r="J21" s="47"/>
      <c r="K21" s="9"/>
      <c r="L21" s="60"/>
      <c r="M21" s="48"/>
      <c r="N21" s="41"/>
      <c r="O21" s="97" t="s">
        <v>90</v>
      </c>
    </row>
    <row r="22" spans="1:15" ht="49.95" customHeight="1" x14ac:dyDescent="0.25">
      <c r="A22" s="96" t="s">
        <v>91</v>
      </c>
      <c r="B22" s="140"/>
      <c r="C22" s="141"/>
      <c r="D22" s="142"/>
      <c r="E22" s="143"/>
      <c r="F22" s="141"/>
      <c r="G22" s="142"/>
      <c r="H22" s="9"/>
      <c r="I22" s="54"/>
      <c r="J22" s="47"/>
      <c r="K22" s="9"/>
      <c r="L22" s="57"/>
      <c r="M22" s="50"/>
      <c r="N22" s="41"/>
      <c r="O22" s="97" t="s">
        <v>92</v>
      </c>
    </row>
    <row r="23" spans="1:15" ht="49.95" customHeight="1" x14ac:dyDescent="0.25">
      <c r="A23" s="95" t="s">
        <v>93</v>
      </c>
      <c r="B23" s="57"/>
      <c r="C23" s="53"/>
      <c r="D23" s="139"/>
      <c r="E23" s="137">
        <v>3000</v>
      </c>
      <c r="F23" s="47"/>
      <c r="G23" s="13"/>
      <c r="H23" s="9"/>
      <c r="I23" s="54"/>
      <c r="J23" s="25">
        <v>3000</v>
      </c>
      <c r="K23" s="139"/>
      <c r="L23" s="138"/>
      <c r="M23" s="50"/>
      <c r="N23" s="34">
        <f>SUM(Tableau1345[[#This Row],[Jan]:[Dec]])</f>
        <v>6000</v>
      </c>
      <c r="O23" s="89" t="s">
        <v>94</v>
      </c>
    </row>
    <row r="24" spans="1:15" ht="49.95" customHeight="1" x14ac:dyDescent="0.25">
      <c r="A24" s="95" t="s">
        <v>95</v>
      </c>
      <c r="B24" s="60"/>
      <c r="C24" s="118"/>
      <c r="D24" s="139"/>
      <c r="E24" s="65">
        <v>3000</v>
      </c>
      <c r="F24" s="118"/>
      <c r="G24" s="116"/>
      <c r="H24" s="9"/>
      <c r="I24" s="119"/>
      <c r="J24" s="53"/>
      <c r="K24" s="49">
        <v>3000</v>
      </c>
      <c r="L24" s="120"/>
      <c r="M24" s="53"/>
      <c r="N24" s="34">
        <f>SUM(Tableau1345[[#This Row],[Jan]:[Dec]])</f>
        <v>6000</v>
      </c>
      <c r="O24" s="89" t="s">
        <v>96</v>
      </c>
    </row>
    <row r="25" spans="1:15" ht="49.95" customHeight="1" x14ac:dyDescent="0.25">
      <c r="A25" s="95" t="s">
        <v>97</v>
      </c>
      <c r="B25" s="57"/>
      <c r="C25" s="13"/>
      <c r="D25" s="13"/>
      <c r="E25" s="68"/>
      <c r="F25" s="47"/>
      <c r="G25" s="9"/>
      <c r="H25" s="9"/>
      <c r="I25" s="54"/>
      <c r="J25" s="13"/>
      <c r="K25" s="13"/>
      <c r="L25" s="68"/>
      <c r="M25" s="50"/>
      <c r="N25" s="34">
        <f>SUM(Tableau1345[[#This Row],[Jan]:[Dec]])</f>
        <v>0</v>
      </c>
      <c r="O25" s="89" t="s">
        <v>98</v>
      </c>
    </row>
    <row r="26" spans="1:15" ht="49.95" customHeight="1" x14ac:dyDescent="0.25">
      <c r="A26" s="100" t="s">
        <v>101</v>
      </c>
      <c r="B26" s="57"/>
      <c r="C26" s="47"/>
      <c r="D26" s="9"/>
      <c r="E26" s="68"/>
      <c r="F26" s="47"/>
      <c r="G26" s="9"/>
      <c r="H26" s="117"/>
      <c r="I26" s="119"/>
      <c r="J26" s="113" t="s">
        <v>38</v>
      </c>
      <c r="K26" s="124"/>
      <c r="L26" s="54"/>
      <c r="M26" s="50"/>
      <c r="N26" s="34"/>
      <c r="O26" s="107" t="s">
        <v>102</v>
      </c>
    </row>
    <row r="27" spans="1:15" ht="49.95" customHeight="1" x14ac:dyDescent="0.25">
      <c r="A27" s="84" t="s">
        <v>103</v>
      </c>
      <c r="B27" s="59"/>
      <c r="C27" s="121"/>
      <c r="D27" s="122"/>
      <c r="E27" s="123"/>
      <c r="F27" s="121"/>
      <c r="G27" s="122"/>
      <c r="H27" s="122"/>
      <c r="I27" s="123"/>
      <c r="J27" s="121"/>
      <c r="K27" s="122"/>
      <c r="L27" s="123"/>
      <c r="M27" s="51"/>
      <c r="N27" s="45">
        <f>SUM(N28:N32)</f>
        <v>12000</v>
      </c>
      <c r="O27" s="90"/>
    </row>
    <row r="28" spans="1:15" ht="49.95" customHeight="1" x14ac:dyDescent="0.25">
      <c r="A28" s="96" t="s">
        <v>104</v>
      </c>
      <c r="B28" s="140"/>
      <c r="C28" s="145"/>
      <c r="D28" s="144"/>
      <c r="E28" s="143"/>
      <c r="F28" s="145"/>
      <c r="G28" s="144"/>
      <c r="H28" s="144"/>
      <c r="I28" s="143"/>
      <c r="J28" s="145"/>
      <c r="K28" s="144"/>
      <c r="L28" s="143"/>
      <c r="M28" s="141"/>
      <c r="N28" s="41"/>
      <c r="O28" s="97" t="s">
        <v>105</v>
      </c>
    </row>
    <row r="29" spans="1:15" ht="49.95" customHeight="1" x14ac:dyDescent="0.25">
      <c r="A29" s="96" t="s">
        <v>106</v>
      </c>
      <c r="B29" s="140"/>
      <c r="C29" s="145"/>
      <c r="D29" s="144"/>
      <c r="E29" s="143"/>
      <c r="F29" s="145"/>
      <c r="G29" s="144"/>
      <c r="H29" s="144"/>
      <c r="I29" s="143"/>
      <c r="J29" s="145"/>
      <c r="K29" s="144"/>
      <c r="L29" s="143"/>
      <c r="M29" s="141"/>
      <c r="N29" s="34"/>
      <c r="O29" s="97" t="s">
        <v>107</v>
      </c>
    </row>
    <row r="30" spans="1:15" ht="49.95" customHeight="1" x14ac:dyDescent="0.25">
      <c r="A30" s="95" t="s">
        <v>108</v>
      </c>
      <c r="B30" s="60"/>
      <c r="C30" s="12"/>
      <c r="D30" s="12"/>
      <c r="E30" s="66"/>
      <c r="F30" s="12"/>
      <c r="G30" s="12"/>
      <c r="H30" s="14"/>
      <c r="I30" s="66"/>
      <c r="J30" s="71"/>
      <c r="K30" s="14"/>
      <c r="L30" s="60"/>
      <c r="M30" s="48"/>
      <c r="N30" s="41"/>
      <c r="O30" s="89" t="s">
        <v>109</v>
      </c>
    </row>
    <row r="31" spans="1:15" ht="49.95" customHeight="1" x14ac:dyDescent="0.25">
      <c r="A31" s="95" t="s">
        <v>99</v>
      </c>
      <c r="B31" s="57"/>
      <c r="C31" s="49">
        <v>2000</v>
      </c>
      <c r="D31" s="25">
        <v>2000</v>
      </c>
      <c r="E31" s="65">
        <v>2000</v>
      </c>
      <c r="F31" s="47"/>
      <c r="G31" s="9"/>
      <c r="H31" s="9"/>
      <c r="I31" s="54"/>
      <c r="J31" s="49">
        <v>2000</v>
      </c>
      <c r="K31" s="25">
        <v>2000</v>
      </c>
      <c r="L31" s="65">
        <v>2000</v>
      </c>
      <c r="M31" s="50"/>
      <c r="N31" s="34">
        <f>SUM(Tableau1345[[#This Row],[Jan]:[Dec]])</f>
        <v>12000</v>
      </c>
      <c r="O31" s="89" t="s">
        <v>100</v>
      </c>
    </row>
    <row r="32" spans="1:15" ht="49.95" customHeight="1" x14ac:dyDescent="0.25">
      <c r="A32" s="100" t="s">
        <v>110</v>
      </c>
      <c r="B32" s="125"/>
      <c r="C32" s="126"/>
      <c r="D32" s="127"/>
      <c r="E32" s="128"/>
      <c r="F32" s="126"/>
      <c r="G32" s="127"/>
      <c r="H32" s="129"/>
      <c r="I32" s="130"/>
      <c r="J32" s="131"/>
      <c r="K32" s="132"/>
      <c r="L32" s="133"/>
      <c r="M32" s="50"/>
      <c r="N32" s="34"/>
      <c r="O32" s="107" t="s">
        <v>111</v>
      </c>
    </row>
    <row r="33" spans="1:15" ht="49.95" customHeight="1" x14ac:dyDescent="0.25">
      <c r="A33" s="29" t="s">
        <v>13</v>
      </c>
      <c r="B33" s="61"/>
      <c r="C33" s="52"/>
      <c r="D33" s="30"/>
      <c r="E33" s="69"/>
      <c r="F33" s="52"/>
      <c r="G33" s="30"/>
      <c r="H33" s="31"/>
      <c r="I33" s="69"/>
      <c r="J33" s="72"/>
      <c r="K33" s="31"/>
      <c r="L33" s="61"/>
      <c r="M33" s="52"/>
      <c r="N33" s="39">
        <f>SUM(N2,N14,N27)</f>
        <v>42000</v>
      </c>
      <c r="O33" s="91"/>
    </row>
    <row r="35" spans="1:15" x14ac:dyDescent="0.25">
      <c r="A35" s="76"/>
    </row>
    <row r="36" spans="1:15" x14ac:dyDescent="0.25">
      <c r="A36" s="77"/>
    </row>
    <row r="37" spans="1:15" x14ac:dyDescent="0.25">
      <c r="A37" s="78"/>
    </row>
    <row r="38" spans="1:15" x14ac:dyDescent="0.25">
      <c r="A38" s="78"/>
      <c r="E38" t="s">
        <v>44</v>
      </c>
    </row>
    <row r="39" spans="1:15" x14ac:dyDescent="0.25">
      <c r="A39" s="79"/>
    </row>
    <row r="40" spans="1:15" x14ac:dyDescent="0.25">
      <c r="A40" s="80"/>
    </row>
    <row r="41" spans="1:15" x14ac:dyDescent="0.25">
      <c r="A41" s="78"/>
    </row>
    <row r="42" spans="1:15" x14ac:dyDescent="0.25">
      <c r="A42" s="78"/>
    </row>
    <row r="43" spans="1:15" x14ac:dyDescent="0.25">
      <c r="A43" s="81"/>
    </row>
    <row r="44" spans="1:15" x14ac:dyDescent="0.25">
      <c r="A44" s="82"/>
    </row>
    <row r="51" spans="5:5" x14ac:dyDescent="0.25">
      <c r="E51" t="s">
        <v>44</v>
      </c>
    </row>
  </sheetData>
  <pageMargins left="0.7" right="0.7" top="0.75" bottom="0.75" header="0.3" footer="0.3"/>
  <headerFooter>
    <oddFooter>&amp;C_x000D_&amp;1#&amp;"Aptos"&amp;10&amp;K000000 Sensitivity: C2-Restricted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ofread_x003f_ xmlns="a3beb65a-7a1d-4def-a18f-8a25128ac815">false</Proofread_x003f_>
    <SharedWithUsers xmlns="9b98e124-5d8a-40ee-8332-2bceb29202e5">
      <UserInfo>
        <DisplayName/>
        <AccountId xsi:nil="true"/>
        <AccountType/>
      </UserInfo>
    </SharedWithUsers>
    <lcf76f155ced4ddcb4097134ff3c332f xmlns="a3beb65a-7a1d-4def-a18f-8a25128ac815">
      <Terms xmlns="http://schemas.microsoft.com/office/infopath/2007/PartnerControls"/>
    </lcf76f155ced4ddcb4097134ff3c332f>
    <TaxCatchAll xmlns="9b98e124-5d8a-40ee-8332-2bceb29202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03F6101107C458B1C6B10F29E9354" ma:contentTypeVersion="21" ma:contentTypeDescription="Crée un document." ma:contentTypeScope="" ma:versionID="4ff25f366d714f7db052774e0d760fff">
  <xsd:schema xmlns:xsd="http://www.w3.org/2001/XMLSchema" xmlns:xs="http://www.w3.org/2001/XMLSchema" xmlns:p="http://schemas.microsoft.com/office/2006/metadata/properties" xmlns:ns2="a3beb65a-7a1d-4def-a18f-8a25128ac815" xmlns:ns3="9b98e124-5d8a-40ee-8332-2bceb29202e5" targetNamespace="http://schemas.microsoft.com/office/2006/metadata/properties" ma:root="true" ma:fieldsID="ae89920f7651098738cbe6f66f1aad02" ns2:_="" ns3:_="">
    <xsd:import namespace="a3beb65a-7a1d-4def-a18f-8a25128ac815"/>
    <xsd:import namespace="9b98e124-5d8a-40ee-8332-2bceb2920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roofread_x003f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eb65a-7a1d-4def-a18f-8a25128ac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38717ee0-2267-4aad-bdb1-d697e710bb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ofread_x003f_" ma:index="26" nillable="true" ma:displayName="Proofread?" ma:default="0" ma:format="Dropdown" ma:internalName="Proofread_x003f_">
      <xsd:simpleType>
        <xsd:restriction base="dms:Boolea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8e124-5d8a-40ee-8332-2bceb2920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efb58a-00b9-4db2-97d5-b4c498429edd}" ma:internalName="TaxCatchAll" ma:showField="CatchAllData" ma:web="9b98e124-5d8a-40ee-8332-2bceb2920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61ADC-D6BF-40F3-A5C2-17D2B5C060D0}">
  <ds:schemaRefs>
    <ds:schemaRef ds:uri="http://schemas.microsoft.com/office/2006/metadata/properties"/>
    <ds:schemaRef ds:uri="http://schemas.microsoft.com/office/infopath/2007/PartnerControls"/>
    <ds:schemaRef ds:uri="a3beb65a-7a1d-4def-a18f-8a25128ac815"/>
    <ds:schemaRef ds:uri="9b98e124-5d8a-40ee-8332-2bceb29202e5"/>
  </ds:schemaRefs>
</ds:datastoreItem>
</file>

<file path=customXml/itemProps2.xml><?xml version="1.0" encoding="utf-8"?>
<ds:datastoreItem xmlns:ds="http://schemas.openxmlformats.org/officeDocument/2006/customXml" ds:itemID="{A1F76655-C011-4613-9F02-3AEDCFF1D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eb65a-7a1d-4def-a18f-8a25128ac815"/>
    <ds:schemaRef ds:uri="9b98e124-5d8a-40ee-8332-2bceb2920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E8E8B6-5EC6-45ED-9551-0EB94F869E4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 Marketing France 2026</vt:lpstr>
      <vt:lpstr>2026 CountryMarketingPlan-100k$</vt:lpstr>
      <vt:lpstr>2026 CountryMarketingPlan-60k$</vt:lpstr>
      <vt:lpstr>2026 CountryMarketingPlan-30k$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Fabien CARRIE</dc:creator>
  <cp:keywords/>
  <dc:description/>
  <cp:lastModifiedBy>Fabien CARRIE</cp:lastModifiedBy>
  <cp:revision/>
  <dcterms:created xsi:type="dcterms:W3CDTF">2025-10-29T18:27:08Z</dcterms:created>
  <dcterms:modified xsi:type="dcterms:W3CDTF">2026-04-21T15:30:12Z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0x01010021103F6101107C458B1C6B10F29E9354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{"FileActivityType":"9","FileActivityTimeStamp":"2025-11-07T18:12:53.770Z","FileActivityUsersOnPage":[{"DisplayName":"Fabien CARRIE","Id":"fabien.carrie@migso-pcubed.com"},{"DisplayName":"Elaina PETRILLO","Id":"elaina.petrillo@migso-pcubed.com"},{"DisplayName":"Matthieu PERRIN","Id":"matthieu.perrin@migso-pcubed.com"}],"FileActivityNavigationId":null}</vt:lpwstr>
  </property>
  <property fmtid="{D5CDD505-2E9C-101B-9397-08002B2CF9AE}" pid="7" name="TriggerFlowInfo">
    <vt:lpwstr/>
  </property>
</Properties>
</file>